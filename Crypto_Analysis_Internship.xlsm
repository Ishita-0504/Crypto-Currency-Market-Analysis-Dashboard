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KIIT\Desktop\"/>
    </mc:Choice>
  </mc:AlternateContent>
  <xr:revisionPtr revIDLastSave="0" documentId="13_ncr:1_{72AF91E9-D3F9-4B47-B77D-4DC32A578645}" xr6:coauthVersionLast="47" xr6:coauthVersionMax="47" xr10:uidLastSave="{00000000-0000-0000-0000-000000000000}"/>
  <bookViews>
    <workbookView xWindow="-110" yWindow="-110" windowWidth="19420" windowHeight="11500" xr2:uid="{00000000-000D-0000-FFFF-FFFF00000000}"/>
  </bookViews>
  <sheets>
    <sheet name="Dashboard_1" sheetId="3" r:id="rId1"/>
    <sheet name="Dashboard_2" sheetId="9" r:id="rId2"/>
    <sheet name="Dashboard_3" sheetId="14" r:id="rId3"/>
    <sheet name="Dashboard_4" sheetId="17" r:id="rId4"/>
    <sheet name="Dashboard_5" sheetId="21" r:id="rId5"/>
    <sheet name="Dashboard_6" sheetId="25" r:id="rId6"/>
    <sheet name="Data" sheetId="11" r:id="rId7"/>
    <sheet name="Data_2" sheetId="12" r:id="rId8"/>
    <sheet name="Data_3" sheetId="15" r:id="rId9"/>
    <sheet name="Data_5" sheetId="20" r:id="rId10"/>
    <sheet name="Backend_1" sheetId="7" state="hidden" r:id="rId11"/>
  </sheets>
  <externalReferences>
    <externalReference r:id="rId12"/>
  </externalReferences>
  <definedNames>
    <definedName name="ExternalData_2" localSheetId="9" hidden="1">Data_5!$A$1:$G$301</definedName>
    <definedName name="Slicer_Coin_Name">#N/A</definedName>
    <definedName name="Slicer_Price_Category">#N/A</definedName>
    <definedName name="Slicer_Price_Range">#N/A</definedName>
    <definedName name="Slicer_Price_Range1">#N/A</definedName>
    <definedName name="Slicer_Price_Range2">#N/A</definedName>
    <definedName name="Slicer_Valid_Coin">#N/A</definedName>
  </definedNames>
  <calcPr calcId="191029"/>
  <pivotCaches>
    <pivotCache cacheId="0" r:id="rId13"/>
    <pivotCache cacheId="1" r:id="rId14"/>
    <pivotCache cacheId="2" r:id="rId15"/>
    <pivotCache cacheId="3" r:id="rId16"/>
    <pivotCache cacheId="4"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H2" i="20" l="1"/>
  <c r="H3" i="20"/>
  <c r="H4" i="20"/>
  <c r="H5" i="20"/>
  <c r="H6" i="20"/>
  <c r="H7" i="20"/>
  <c r="H8" i="20"/>
  <c r="H9" i="20"/>
  <c r="H10" i="20"/>
  <c r="H11" i="20"/>
  <c r="H12" i="20"/>
  <c r="H13" i="20"/>
  <c r="H14" i="20"/>
  <c r="H15" i="20"/>
  <c r="H16" i="20"/>
  <c r="H17" i="20"/>
  <c r="H18" i="20"/>
  <c r="H19" i="20"/>
  <c r="H20" i="20"/>
  <c r="H21" i="20"/>
  <c r="H22" i="20"/>
  <c r="H23" i="20"/>
  <c r="H24" i="20"/>
  <c r="H25" i="20"/>
  <c r="H26" i="20"/>
  <c r="H27" i="20"/>
  <c r="H28" i="20"/>
  <c r="H29" i="20"/>
  <c r="H30" i="20"/>
  <c r="H31" i="20"/>
  <c r="H32" i="20"/>
  <c r="H33" i="20"/>
  <c r="H34" i="20"/>
  <c r="H35" i="20"/>
  <c r="H36" i="20"/>
  <c r="H37" i="20"/>
  <c r="H38" i="20"/>
  <c r="H39" i="20"/>
  <c r="H40" i="20"/>
  <c r="H41"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78" i="20"/>
  <c r="H79" i="20"/>
  <c r="H80" i="20"/>
  <c r="H81" i="20"/>
  <c r="H82" i="20"/>
  <c r="H83" i="20"/>
  <c r="H84" i="20"/>
  <c r="H85" i="20"/>
  <c r="H86" i="20"/>
  <c r="H87" i="20"/>
  <c r="H88" i="20"/>
  <c r="H89" i="20"/>
  <c r="H90" i="20"/>
  <c r="H91" i="20"/>
  <c r="H92" i="20"/>
  <c r="H93" i="20"/>
  <c r="H94" i="20"/>
  <c r="H95" i="20"/>
  <c r="H96" i="20"/>
  <c r="H97" i="20"/>
  <c r="H98" i="20"/>
  <c r="H99" i="20"/>
  <c r="H100" i="20"/>
  <c r="H101" i="20"/>
  <c r="H102" i="20"/>
  <c r="H103" i="20"/>
  <c r="H104" i="20"/>
  <c r="H105" i="20"/>
  <c r="H106" i="20"/>
  <c r="H107" i="20"/>
  <c r="H108" i="20"/>
  <c r="H109" i="20"/>
  <c r="H110" i="20"/>
  <c r="H111" i="20"/>
  <c r="H112" i="20"/>
  <c r="H113" i="20"/>
  <c r="H114" i="20"/>
  <c r="H115" i="20"/>
  <c r="H116" i="20"/>
  <c r="H117" i="20"/>
  <c r="H118" i="20"/>
  <c r="H119" i="20"/>
  <c r="H120" i="20"/>
  <c r="H121" i="20"/>
  <c r="H122" i="20"/>
  <c r="H123" i="20"/>
  <c r="H124" i="20"/>
  <c r="H125" i="20"/>
  <c r="H126" i="20"/>
  <c r="H127" i="20"/>
  <c r="H128" i="20"/>
  <c r="H129" i="20"/>
  <c r="H130" i="20"/>
  <c r="H131" i="20"/>
  <c r="H132" i="20"/>
  <c r="H133" i="20"/>
  <c r="H134" i="20"/>
  <c r="H135" i="20"/>
  <c r="H136" i="20"/>
  <c r="H137" i="20"/>
  <c r="H138" i="20"/>
  <c r="H139" i="20"/>
  <c r="H140" i="20"/>
  <c r="H141" i="20"/>
  <c r="H142" i="20"/>
  <c r="H143" i="20"/>
  <c r="H144" i="20"/>
  <c r="H145" i="20"/>
  <c r="H146" i="20"/>
  <c r="H147" i="20"/>
  <c r="H148" i="20"/>
  <c r="H149" i="20"/>
  <c r="H150" i="20"/>
  <c r="H151" i="20"/>
  <c r="H152" i="20"/>
  <c r="H153" i="20"/>
  <c r="H154" i="20"/>
  <c r="H155" i="20"/>
  <c r="H156" i="20"/>
  <c r="H157" i="20"/>
  <c r="H158" i="20"/>
  <c r="H159" i="20"/>
  <c r="H160" i="20"/>
  <c r="H161" i="20"/>
  <c r="H162" i="20"/>
  <c r="H163" i="20"/>
  <c r="H164" i="20"/>
  <c r="H165" i="20"/>
  <c r="H166" i="20"/>
  <c r="H167" i="20"/>
  <c r="H168" i="20"/>
  <c r="H169" i="20"/>
  <c r="H170" i="20"/>
  <c r="H171" i="20"/>
  <c r="H172" i="20"/>
  <c r="H173" i="20"/>
  <c r="H174" i="20"/>
  <c r="H175" i="20"/>
  <c r="H176" i="20"/>
  <c r="H177" i="20"/>
  <c r="H178" i="20"/>
  <c r="H179" i="20"/>
  <c r="H180" i="20"/>
  <c r="H181" i="20"/>
  <c r="H182" i="20"/>
  <c r="H183" i="20"/>
  <c r="H184" i="20"/>
  <c r="H185" i="20"/>
  <c r="H186" i="20"/>
  <c r="H187" i="20"/>
  <c r="H188" i="20"/>
  <c r="H189" i="20"/>
  <c r="H190" i="20"/>
  <c r="H191" i="20"/>
  <c r="H192" i="20"/>
  <c r="H193" i="20"/>
  <c r="H194" i="20"/>
  <c r="H195" i="20"/>
  <c r="H196" i="20"/>
  <c r="H197" i="20"/>
  <c r="H198" i="20"/>
  <c r="H199" i="20"/>
  <c r="H200" i="20"/>
  <c r="H201" i="20"/>
  <c r="H202" i="20"/>
  <c r="H203" i="20"/>
  <c r="H204" i="20"/>
  <c r="H205" i="20"/>
  <c r="H206" i="20"/>
  <c r="H207" i="20"/>
  <c r="H208" i="20"/>
  <c r="H209" i="20"/>
  <c r="H210" i="20"/>
  <c r="H211" i="20"/>
  <c r="H212" i="20"/>
  <c r="H213" i="20"/>
  <c r="H214" i="20"/>
  <c r="H215" i="20"/>
  <c r="H216" i="20"/>
  <c r="H217" i="20"/>
  <c r="H218" i="20"/>
  <c r="H219" i="20"/>
  <c r="H220" i="20"/>
  <c r="H221" i="20"/>
  <c r="H222" i="20"/>
  <c r="H223" i="20"/>
  <c r="H224" i="20"/>
  <c r="H225" i="20"/>
  <c r="H226" i="20"/>
  <c r="H227" i="20"/>
  <c r="H228" i="20"/>
  <c r="H229" i="20"/>
  <c r="H230" i="20"/>
  <c r="H231" i="20"/>
  <c r="H232" i="20"/>
  <c r="H233" i="20"/>
  <c r="H234" i="20"/>
  <c r="H235" i="20"/>
  <c r="H236" i="20"/>
  <c r="H237" i="20"/>
  <c r="H238" i="20"/>
  <c r="H239" i="20"/>
  <c r="H240" i="20"/>
  <c r="H241" i="20"/>
  <c r="H242" i="20"/>
  <c r="H243" i="20"/>
  <c r="H244" i="20"/>
  <c r="H245" i="20"/>
  <c r="H246" i="20"/>
  <c r="H247" i="20"/>
  <c r="H248" i="20"/>
  <c r="H249" i="20"/>
  <c r="H250" i="20"/>
  <c r="H251" i="20"/>
  <c r="H252" i="20"/>
  <c r="H253" i="20"/>
  <c r="H254" i="20"/>
  <c r="H255" i="20"/>
  <c r="H256" i="20"/>
  <c r="H257" i="20"/>
  <c r="H258" i="20"/>
  <c r="H259" i="20"/>
  <c r="H260" i="20"/>
  <c r="H261" i="20"/>
  <c r="H262" i="20"/>
  <c r="H263" i="20"/>
  <c r="H264" i="20"/>
  <c r="H265" i="20"/>
  <c r="H266" i="20"/>
  <c r="H267" i="20"/>
  <c r="H268" i="20"/>
  <c r="H269" i="20"/>
  <c r="H270" i="20"/>
  <c r="H271" i="20"/>
  <c r="H272" i="20"/>
  <c r="H273" i="20"/>
  <c r="H274" i="20"/>
  <c r="H275" i="20"/>
  <c r="H276" i="20"/>
  <c r="H277" i="20"/>
  <c r="H278" i="20"/>
  <c r="H279" i="20"/>
  <c r="H280" i="20"/>
  <c r="H281" i="20"/>
  <c r="H282" i="20"/>
  <c r="H283" i="20"/>
  <c r="H284" i="20"/>
  <c r="H285" i="20"/>
  <c r="H286" i="20"/>
  <c r="H287" i="20"/>
  <c r="H288" i="20"/>
  <c r="H289" i="20"/>
  <c r="H290" i="20"/>
  <c r="H291" i="20"/>
  <c r="H292" i="20"/>
  <c r="H293" i="20"/>
  <c r="H294" i="20"/>
  <c r="H295" i="20"/>
  <c r="H296" i="20"/>
  <c r="H297" i="20"/>
  <c r="H298" i="20"/>
  <c r="H299" i="20"/>
  <c r="H300" i="20"/>
  <c r="H301" i="20"/>
  <c r="I2" i="20"/>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I95" i="20"/>
  <c r="I96" i="20"/>
  <c r="I97" i="20"/>
  <c r="I98" i="20"/>
  <c r="I99" i="20"/>
  <c r="I100" i="20"/>
  <c r="I101" i="20"/>
  <c r="I102" i="20"/>
  <c r="I103" i="20"/>
  <c r="I104" i="20"/>
  <c r="I105" i="20"/>
  <c r="I106" i="20"/>
  <c r="I107" i="20"/>
  <c r="I108" i="20"/>
  <c r="I109" i="20"/>
  <c r="I110" i="20"/>
  <c r="I111" i="20"/>
  <c r="I112" i="20"/>
  <c r="I113" i="20"/>
  <c r="I114" i="20"/>
  <c r="I115" i="20"/>
  <c r="I116" i="20"/>
  <c r="I117" i="20"/>
  <c r="I118" i="20"/>
  <c r="I119" i="20"/>
  <c r="I120" i="20"/>
  <c r="I121" i="20"/>
  <c r="I122" i="20"/>
  <c r="I123" i="20"/>
  <c r="I124" i="20"/>
  <c r="I125" i="20"/>
  <c r="I126" i="20"/>
  <c r="I127" i="20"/>
  <c r="I128" i="20"/>
  <c r="I129" i="20"/>
  <c r="I130" i="20"/>
  <c r="I131" i="20"/>
  <c r="I132" i="20"/>
  <c r="I133" i="20"/>
  <c r="I134" i="20"/>
  <c r="I135" i="20"/>
  <c r="I136" i="20"/>
  <c r="I137" i="20"/>
  <c r="I138" i="20"/>
  <c r="I139" i="20"/>
  <c r="I140" i="20"/>
  <c r="I141" i="20"/>
  <c r="I142" i="20"/>
  <c r="I143" i="20"/>
  <c r="I144" i="20"/>
  <c r="I145" i="20"/>
  <c r="I146" i="20"/>
  <c r="I147" i="20"/>
  <c r="I148" i="20"/>
  <c r="I149" i="20"/>
  <c r="I150" i="20"/>
  <c r="I151" i="20"/>
  <c r="I152" i="20"/>
  <c r="I153" i="20"/>
  <c r="I154" i="20"/>
  <c r="I155" i="20"/>
  <c r="I156" i="20"/>
  <c r="I157" i="20"/>
  <c r="I158" i="20"/>
  <c r="I159" i="20"/>
  <c r="I160" i="20"/>
  <c r="I161" i="20"/>
  <c r="I162" i="20"/>
  <c r="I163" i="20"/>
  <c r="I164" i="20"/>
  <c r="I165" i="20"/>
  <c r="I166" i="20"/>
  <c r="I167" i="20"/>
  <c r="I168" i="20"/>
  <c r="I169" i="20"/>
  <c r="I170" i="20"/>
  <c r="I171" i="20"/>
  <c r="I172" i="20"/>
  <c r="I173" i="20"/>
  <c r="I174" i="20"/>
  <c r="I175" i="20"/>
  <c r="I176" i="20"/>
  <c r="I177" i="20"/>
  <c r="I178" i="20"/>
  <c r="I179" i="20"/>
  <c r="I180" i="20"/>
  <c r="I181" i="20"/>
  <c r="I182" i="20"/>
  <c r="I183" i="20"/>
  <c r="I184" i="20"/>
  <c r="I185" i="20"/>
  <c r="I186" i="20"/>
  <c r="I187" i="20"/>
  <c r="I188" i="20"/>
  <c r="I189" i="20"/>
  <c r="I190" i="20"/>
  <c r="I191" i="20"/>
  <c r="I192" i="20"/>
  <c r="I193" i="20"/>
  <c r="I194" i="20"/>
  <c r="I195" i="20"/>
  <c r="I196" i="20"/>
  <c r="I197" i="20"/>
  <c r="I198" i="20"/>
  <c r="I199" i="20"/>
  <c r="I200" i="20"/>
  <c r="I201" i="20"/>
  <c r="I202" i="20"/>
  <c r="I203" i="20"/>
  <c r="I204" i="20"/>
  <c r="I205" i="20"/>
  <c r="I206" i="20"/>
  <c r="I207" i="20"/>
  <c r="I208" i="20"/>
  <c r="I209" i="20"/>
  <c r="I210" i="20"/>
  <c r="I211" i="20"/>
  <c r="I212" i="20"/>
  <c r="I213" i="20"/>
  <c r="I214" i="20"/>
  <c r="I215" i="20"/>
  <c r="I216" i="20"/>
  <c r="I217" i="20"/>
  <c r="I218" i="20"/>
  <c r="I219" i="20"/>
  <c r="I220" i="20"/>
  <c r="I221" i="20"/>
  <c r="I222" i="20"/>
  <c r="I223" i="20"/>
  <c r="I224" i="20"/>
  <c r="I225" i="20"/>
  <c r="I226" i="20"/>
  <c r="I227" i="20"/>
  <c r="I228" i="20"/>
  <c r="I229" i="20"/>
  <c r="I230" i="20"/>
  <c r="I231" i="20"/>
  <c r="I232" i="20"/>
  <c r="I233" i="20"/>
  <c r="I234" i="20"/>
  <c r="I235" i="20"/>
  <c r="I236" i="20"/>
  <c r="I237" i="20"/>
  <c r="I238" i="20"/>
  <c r="I239" i="20"/>
  <c r="I240" i="20"/>
  <c r="I241" i="20"/>
  <c r="I242" i="20"/>
  <c r="I243" i="20"/>
  <c r="I244" i="20"/>
  <c r="I245" i="20"/>
  <c r="I246" i="20"/>
  <c r="I247" i="20"/>
  <c r="I248" i="20"/>
  <c r="I249" i="20"/>
  <c r="I250" i="20"/>
  <c r="I251" i="20"/>
  <c r="I252" i="20"/>
  <c r="I253" i="20"/>
  <c r="I254" i="20"/>
  <c r="I255" i="20"/>
  <c r="I256" i="20"/>
  <c r="I257" i="20"/>
  <c r="I258" i="20"/>
  <c r="I259" i="20"/>
  <c r="I260" i="20"/>
  <c r="I261" i="20"/>
  <c r="I262" i="20"/>
  <c r="I263" i="20"/>
  <c r="I264" i="20"/>
  <c r="I265" i="20"/>
  <c r="I266" i="20"/>
  <c r="I267" i="20"/>
  <c r="I268" i="20"/>
  <c r="I269" i="20"/>
  <c r="I270" i="20"/>
  <c r="I271" i="20"/>
  <c r="I272" i="20"/>
  <c r="I273" i="20"/>
  <c r="I274" i="20"/>
  <c r="I275" i="20"/>
  <c r="I276" i="20"/>
  <c r="I277" i="20"/>
  <c r="I278" i="20"/>
  <c r="I279" i="20"/>
  <c r="I280" i="20"/>
  <c r="I281" i="20"/>
  <c r="I282" i="20"/>
  <c r="I283" i="20"/>
  <c r="I284" i="20"/>
  <c r="I285" i="20"/>
  <c r="I286" i="20"/>
  <c r="I287" i="20"/>
  <c r="I288" i="20"/>
  <c r="I289" i="20"/>
  <c r="I290" i="20"/>
  <c r="I291" i="20"/>
  <c r="I292" i="20"/>
  <c r="I293" i="20"/>
  <c r="I294" i="20"/>
  <c r="I295" i="20"/>
  <c r="I296" i="20"/>
  <c r="I297" i="20"/>
  <c r="I298" i="20"/>
  <c r="I299" i="20"/>
  <c r="I300" i="20"/>
  <c r="I301" i="20"/>
  <c r="J2" i="20"/>
  <c r="J3" i="20"/>
  <c r="J4" i="20"/>
  <c r="J5" i="20"/>
  <c r="J6" i="20"/>
  <c r="J7" i="20"/>
  <c r="J8" i="20"/>
  <c r="J9" i="20"/>
  <c r="J10" i="20"/>
  <c r="J11" i="20"/>
  <c r="J12" i="20"/>
  <c r="J13" i="20"/>
  <c r="J14" i="20"/>
  <c r="J15" i="20"/>
  <c r="J16" i="20"/>
  <c r="J17" i="20"/>
  <c r="J18" i="20"/>
  <c r="J19" i="20"/>
  <c r="J20" i="20"/>
  <c r="J21" i="20"/>
  <c r="J22" i="20"/>
  <c r="J23" i="20"/>
  <c r="J24" i="20"/>
  <c r="J25" i="20"/>
  <c r="J26" i="20"/>
  <c r="J27" i="20"/>
  <c r="J28" i="20"/>
  <c r="J29" i="20"/>
  <c r="J30" i="20"/>
  <c r="J31" i="20"/>
  <c r="J32" i="20"/>
  <c r="J33" i="20"/>
  <c r="J34" i="20"/>
  <c r="J35" i="20"/>
  <c r="J36" i="20"/>
  <c r="J37" i="20"/>
  <c r="J38" i="20"/>
  <c r="J39" i="20"/>
  <c r="J40" i="20"/>
  <c r="J41" i="20"/>
  <c r="J42" i="20"/>
  <c r="J43" i="20"/>
  <c r="J44" i="20"/>
  <c r="J45" i="20"/>
  <c r="J46" i="20"/>
  <c r="J47" i="20"/>
  <c r="J48" i="20"/>
  <c r="J49" i="20"/>
  <c r="J50" i="20"/>
  <c r="J51" i="20"/>
  <c r="J52" i="20"/>
  <c r="J53" i="20"/>
  <c r="J54" i="20"/>
  <c r="J55" i="20"/>
  <c r="J56" i="20"/>
  <c r="J57" i="20"/>
  <c r="J58" i="20"/>
  <c r="J59" i="20"/>
  <c r="J60" i="20"/>
  <c r="J61" i="20"/>
  <c r="J62" i="20"/>
  <c r="J63" i="20"/>
  <c r="J64" i="20"/>
  <c r="J65" i="20"/>
  <c r="J66" i="20"/>
  <c r="J67" i="20"/>
  <c r="J68" i="20"/>
  <c r="J69" i="20"/>
  <c r="J70" i="20"/>
  <c r="J71" i="20"/>
  <c r="J72" i="20"/>
  <c r="J73" i="20"/>
  <c r="J74" i="20"/>
  <c r="J75" i="20"/>
  <c r="J76" i="20"/>
  <c r="J77" i="20"/>
  <c r="J78" i="20"/>
  <c r="J79" i="20"/>
  <c r="J80" i="20"/>
  <c r="J81" i="20"/>
  <c r="J82" i="20"/>
  <c r="J83" i="20"/>
  <c r="J84" i="20"/>
  <c r="J85" i="20"/>
  <c r="J86" i="20"/>
  <c r="J87" i="20"/>
  <c r="J88" i="20"/>
  <c r="J89" i="20"/>
  <c r="J90" i="20"/>
  <c r="J91" i="20"/>
  <c r="J92" i="20"/>
  <c r="J93" i="20"/>
  <c r="J94" i="20"/>
  <c r="J95" i="20"/>
  <c r="J96" i="20"/>
  <c r="J97" i="20"/>
  <c r="J98" i="20"/>
  <c r="J99" i="20"/>
  <c r="J100" i="20"/>
  <c r="J101" i="20"/>
  <c r="J102" i="20"/>
  <c r="J103" i="20"/>
  <c r="J104" i="20"/>
  <c r="J105" i="20"/>
  <c r="J106" i="20"/>
  <c r="J107" i="20"/>
  <c r="J108" i="20"/>
  <c r="J109" i="20"/>
  <c r="J110" i="20"/>
  <c r="J111" i="20"/>
  <c r="J112" i="20"/>
  <c r="J113" i="20"/>
  <c r="J114" i="20"/>
  <c r="J115" i="20"/>
  <c r="J116" i="20"/>
  <c r="J117" i="20"/>
  <c r="J118" i="20"/>
  <c r="J119" i="20"/>
  <c r="J120" i="20"/>
  <c r="J121" i="20"/>
  <c r="J122" i="20"/>
  <c r="J123" i="20"/>
  <c r="J124" i="20"/>
  <c r="J125" i="20"/>
  <c r="J126" i="20"/>
  <c r="J127" i="20"/>
  <c r="J128" i="20"/>
  <c r="J129" i="20"/>
  <c r="J130" i="20"/>
  <c r="J131" i="20"/>
  <c r="J132" i="20"/>
  <c r="J133" i="20"/>
  <c r="J134" i="20"/>
  <c r="J135" i="20"/>
  <c r="J136" i="20"/>
  <c r="J137" i="20"/>
  <c r="J138" i="20"/>
  <c r="J139" i="20"/>
  <c r="J140" i="20"/>
  <c r="J141" i="20"/>
  <c r="J142" i="20"/>
  <c r="J143" i="20"/>
  <c r="J144" i="20"/>
  <c r="J145" i="20"/>
  <c r="J146" i="20"/>
  <c r="J147" i="20"/>
  <c r="J148" i="20"/>
  <c r="J149" i="20"/>
  <c r="J150" i="20"/>
  <c r="J151" i="20"/>
  <c r="J152" i="20"/>
  <c r="J153" i="20"/>
  <c r="J154" i="20"/>
  <c r="J155" i="20"/>
  <c r="J156" i="20"/>
  <c r="J157" i="20"/>
  <c r="J158" i="20"/>
  <c r="J159" i="20"/>
  <c r="J160" i="20"/>
  <c r="J161" i="20"/>
  <c r="J162" i="20"/>
  <c r="J163" i="20"/>
  <c r="J164" i="20"/>
  <c r="J165" i="20"/>
  <c r="J166" i="20"/>
  <c r="J167" i="20"/>
  <c r="J168" i="20"/>
  <c r="J169" i="20"/>
  <c r="J170" i="20"/>
  <c r="J171" i="20"/>
  <c r="J172" i="20"/>
  <c r="J173" i="20"/>
  <c r="J174" i="20"/>
  <c r="J175" i="20"/>
  <c r="J176" i="20"/>
  <c r="J177" i="20"/>
  <c r="J178" i="20"/>
  <c r="J179" i="20"/>
  <c r="J180" i="20"/>
  <c r="J181" i="20"/>
  <c r="J182" i="20"/>
  <c r="J183" i="20"/>
  <c r="J184" i="20"/>
  <c r="J185" i="20"/>
  <c r="J186" i="20"/>
  <c r="J187" i="20"/>
  <c r="J188" i="20"/>
  <c r="J189" i="20"/>
  <c r="J190" i="20"/>
  <c r="J191" i="20"/>
  <c r="J192" i="20"/>
  <c r="J193" i="20"/>
  <c r="J194" i="20"/>
  <c r="J195" i="20"/>
  <c r="J196" i="20"/>
  <c r="J197" i="20"/>
  <c r="J198" i="20"/>
  <c r="J199" i="20"/>
  <c r="J200" i="20"/>
  <c r="J201" i="20"/>
  <c r="J202" i="20"/>
  <c r="J203" i="20"/>
  <c r="J204" i="20"/>
  <c r="J205" i="20"/>
  <c r="J206" i="20"/>
  <c r="J207" i="20"/>
  <c r="J208" i="20"/>
  <c r="J209" i="20"/>
  <c r="J210" i="20"/>
  <c r="J211" i="20"/>
  <c r="J212" i="20"/>
  <c r="J213" i="20"/>
  <c r="J214" i="20"/>
  <c r="J215" i="20"/>
  <c r="J216" i="20"/>
  <c r="J217" i="20"/>
  <c r="J218" i="20"/>
  <c r="J219" i="20"/>
  <c r="J220" i="20"/>
  <c r="J221" i="20"/>
  <c r="J222" i="20"/>
  <c r="J223" i="20"/>
  <c r="J224" i="20"/>
  <c r="J225" i="20"/>
  <c r="J226" i="20"/>
  <c r="J227" i="20"/>
  <c r="J228" i="20"/>
  <c r="J229" i="20"/>
  <c r="J230" i="20"/>
  <c r="J231" i="20"/>
  <c r="J232" i="20"/>
  <c r="J233" i="20"/>
  <c r="J234" i="20"/>
  <c r="J235" i="20"/>
  <c r="J236" i="20"/>
  <c r="J237" i="20"/>
  <c r="J238" i="20"/>
  <c r="J239" i="20"/>
  <c r="J240" i="20"/>
  <c r="J241" i="20"/>
  <c r="J242" i="20"/>
  <c r="J243" i="20"/>
  <c r="J244" i="20"/>
  <c r="J245" i="20"/>
  <c r="J246" i="20"/>
  <c r="J247" i="20"/>
  <c r="J248" i="20"/>
  <c r="J249" i="20"/>
  <c r="J250" i="20"/>
  <c r="J251" i="20"/>
  <c r="J252" i="20"/>
  <c r="J253" i="20"/>
  <c r="J254" i="20"/>
  <c r="J255" i="20"/>
  <c r="J256" i="20"/>
  <c r="J257" i="20"/>
  <c r="J258" i="20"/>
  <c r="J259" i="20"/>
  <c r="J260" i="20"/>
  <c r="J261" i="20"/>
  <c r="J262" i="20"/>
  <c r="J263" i="20"/>
  <c r="J264" i="20"/>
  <c r="J265" i="20"/>
  <c r="J266" i="20"/>
  <c r="J267" i="20"/>
  <c r="J268" i="20"/>
  <c r="J269" i="20"/>
  <c r="J270" i="20"/>
  <c r="J271" i="20"/>
  <c r="J272" i="20"/>
  <c r="J273" i="20"/>
  <c r="J274" i="20"/>
  <c r="J275" i="20"/>
  <c r="J276" i="20"/>
  <c r="J277" i="20"/>
  <c r="J278" i="20"/>
  <c r="J279" i="20"/>
  <c r="J280" i="20"/>
  <c r="J281" i="20"/>
  <c r="J282" i="20"/>
  <c r="J283" i="20"/>
  <c r="J284" i="20"/>
  <c r="J285" i="20"/>
  <c r="J286" i="20"/>
  <c r="J287" i="20"/>
  <c r="J288" i="20"/>
  <c r="J289" i="20"/>
  <c r="J290" i="20"/>
  <c r="J291" i="20"/>
  <c r="J292" i="20"/>
  <c r="J293" i="20"/>
  <c r="J294" i="20"/>
  <c r="J295" i="20"/>
  <c r="J296" i="20"/>
  <c r="J297" i="20"/>
  <c r="J298" i="20"/>
  <c r="J299" i="20"/>
  <c r="J300" i="20"/>
  <c r="J301" i="20"/>
  <c r="K2" i="20"/>
  <c r="K3" i="20"/>
  <c r="K4" i="20"/>
  <c r="K5" i="20"/>
  <c r="K6" i="20"/>
  <c r="K7" i="20"/>
  <c r="K8" i="20"/>
  <c r="K9" i="20"/>
  <c r="K10" i="20"/>
  <c r="K11" i="20"/>
  <c r="K12" i="20"/>
  <c r="K13" i="20"/>
  <c r="K14" i="20"/>
  <c r="K15" i="20"/>
  <c r="K16" i="20"/>
  <c r="K17" i="20"/>
  <c r="K18" i="20"/>
  <c r="K19" i="20"/>
  <c r="K20" i="20"/>
  <c r="K21" i="20"/>
  <c r="K22" i="20"/>
  <c r="K23" i="20"/>
  <c r="K24" i="20"/>
  <c r="K25" i="20"/>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205" i="20"/>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69" i="20"/>
  <c r="K270" i="20"/>
  <c r="K271" i="20"/>
  <c r="K272" i="20"/>
  <c r="K273" i="20"/>
  <c r="K274" i="20"/>
  <c r="K275" i="20"/>
  <c r="K276" i="20"/>
  <c r="K277" i="20"/>
  <c r="K278" i="20"/>
  <c r="K279" i="20"/>
  <c r="K280" i="20"/>
  <c r="K281" i="20"/>
  <c r="K282" i="20"/>
  <c r="K283" i="20"/>
  <c r="K284" i="20"/>
  <c r="K285" i="20"/>
  <c r="K286" i="20"/>
  <c r="K287" i="20"/>
  <c r="K288" i="20"/>
  <c r="K289" i="20"/>
  <c r="K290" i="20"/>
  <c r="K291" i="20"/>
  <c r="K292" i="20"/>
  <c r="K293" i="20"/>
  <c r="K294" i="20"/>
  <c r="K295" i="20"/>
  <c r="K296" i="20"/>
  <c r="K297" i="20"/>
  <c r="K298" i="20"/>
  <c r="K299" i="20"/>
  <c r="K300" i="20"/>
  <c r="K301" i="20"/>
  <c r="Z7" i="25"/>
  <c r="V49" i="25"/>
  <c r="L2" i="20"/>
  <c r="L3" i="20"/>
  <c r="L4" i="20"/>
  <c r="L5" i="20"/>
  <c r="L6" i="20"/>
  <c r="L7" i="20"/>
  <c r="L8" i="20"/>
  <c r="L9" i="20"/>
  <c r="L10" i="20"/>
  <c r="L11" i="20"/>
  <c r="L12" i="20"/>
  <c r="L13" i="20"/>
  <c r="L14" i="20"/>
  <c r="L15" i="20"/>
  <c r="L16" i="20"/>
  <c r="L17" i="20"/>
  <c r="L18" i="20"/>
  <c r="L19" i="20"/>
  <c r="L20" i="20"/>
  <c r="L21" i="20"/>
  <c r="L22" i="20"/>
  <c r="L23" i="20"/>
  <c r="L24" i="20"/>
  <c r="L25" i="20"/>
  <c r="L26" i="20"/>
  <c r="L27" i="20"/>
  <c r="L28" i="20"/>
  <c r="L29" i="20"/>
  <c r="L30" i="20"/>
  <c r="L31" i="20"/>
  <c r="L32" i="20"/>
  <c r="L33" i="20"/>
  <c r="L34" i="20"/>
  <c r="L35" i="20"/>
  <c r="L36" i="20"/>
  <c r="L37" i="20"/>
  <c r="L38" i="20"/>
  <c r="L39" i="20"/>
  <c r="L40" i="20"/>
  <c r="L41" i="20"/>
  <c r="L42" i="20"/>
  <c r="L43" i="20"/>
  <c r="L44" i="20"/>
  <c r="L45" i="20"/>
  <c r="L46" i="20"/>
  <c r="L47" i="20"/>
  <c r="L48" i="20"/>
  <c r="L49" i="20"/>
  <c r="L50" i="20"/>
  <c r="L51" i="20"/>
  <c r="L52" i="20"/>
  <c r="L53" i="20"/>
  <c r="L54" i="20"/>
  <c r="L55" i="20"/>
  <c r="L56" i="20"/>
  <c r="L57" i="20"/>
  <c r="L58" i="20"/>
  <c r="L59" i="20"/>
  <c r="L60" i="20"/>
  <c r="L61" i="20"/>
  <c r="L62" i="20"/>
  <c r="L63" i="20"/>
  <c r="L64" i="20"/>
  <c r="L65" i="20"/>
  <c r="L66" i="20"/>
  <c r="L67" i="20"/>
  <c r="L68" i="20"/>
  <c r="L69" i="20"/>
  <c r="L70" i="20"/>
  <c r="L71" i="20"/>
  <c r="L72" i="20"/>
  <c r="L73" i="20"/>
  <c r="L74" i="20"/>
  <c r="L75" i="20"/>
  <c r="L76" i="20"/>
  <c r="L77" i="20"/>
  <c r="L78" i="20"/>
  <c r="L79" i="20"/>
  <c r="L80" i="20"/>
  <c r="L81" i="20"/>
  <c r="L82" i="20"/>
  <c r="L83" i="20"/>
  <c r="L84" i="20"/>
  <c r="L85" i="20"/>
  <c r="L86" i="20"/>
  <c r="L87" i="20"/>
  <c r="L88" i="20"/>
  <c r="L89" i="20"/>
  <c r="L90" i="20"/>
  <c r="L91" i="20"/>
  <c r="L92" i="20"/>
  <c r="L93" i="20"/>
  <c r="L94" i="20"/>
  <c r="L95" i="20"/>
  <c r="L96" i="20"/>
  <c r="L97" i="20"/>
  <c r="L98" i="20"/>
  <c r="L99" i="20"/>
  <c r="L100" i="20"/>
  <c r="L101" i="20"/>
  <c r="L102" i="20"/>
  <c r="L103" i="20"/>
  <c r="L104" i="20"/>
  <c r="L105" i="20"/>
  <c r="L106" i="20"/>
  <c r="L107" i="20"/>
  <c r="L108" i="20"/>
  <c r="L109" i="20"/>
  <c r="L110" i="20"/>
  <c r="L111" i="20"/>
  <c r="L112" i="20"/>
  <c r="L113" i="20"/>
  <c r="L114" i="20"/>
  <c r="L115" i="20"/>
  <c r="L116" i="20"/>
  <c r="L117" i="20"/>
  <c r="L118" i="20"/>
  <c r="L119" i="20"/>
  <c r="L120" i="20"/>
  <c r="L121" i="20"/>
  <c r="L122" i="20"/>
  <c r="L123" i="20"/>
  <c r="L124" i="20"/>
  <c r="L125" i="20"/>
  <c r="L126" i="20"/>
  <c r="L127" i="20"/>
  <c r="L128" i="20"/>
  <c r="L129" i="20"/>
  <c r="L130" i="20"/>
  <c r="L131" i="20"/>
  <c r="L132" i="20"/>
  <c r="L133" i="20"/>
  <c r="L134" i="20"/>
  <c r="L135" i="20"/>
  <c r="L136" i="20"/>
  <c r="L137" i="20"/>
  <c r="L138" i="20"/>
  <c r="L139" i="20"/>
  <c r="L140" i="20"/>
  <c r="L141" i="20"/>
  <c r="L142" i="20"/>
  <c r="L143" i="20"/>
  <c r="L144" i="20"/>
  <c r="L145" i="20"/>
  <c r="L146" i="20"/>
  <c r="L147" i="20"/>
  <c r="L148" i="20"/>
  <c r="L149" i="20"/>
  <c r="L150" i="20"/>
  <c r="L151" i="20"/>
  <c r="L152" i="20"/>
  <c r="L153" i="20"/>
  <c r="L154" i="20"/>
  <c r="L155" i="20"/>
  <c r="L156" i="20"/>
  <c r="L157" i="20"/>
  <c r="L158" i="20"/>
  <c r="L159" i="20"/>
  <c r="L160" i="20"/>
  <c r="L161" i="20"/>
  <c r="L162" i="20"/>
  <c r="L163" i="20"/>
  <c r="L164" i="20"/>
  <c r="L165" i="20"/>
  <c r="L166" i="20"/>
  <c r="L167" i="20"/>
  <c r="L168" i="20"/>
  <c r="L169" i="20"/>
  <c r="L170" i="20"/>
  <c r="L171" i="20"/>
  <c r="L172" i="20"/>
  <c r="L173" i="20"/>
  <c r="L174" i="20"/>
  <c r="L175" i="20"/>
  <c r="L176" i="20"/>
  <c r="L177" i="20"/>
  <c r="L178" i="20"/>
  <c r="L179" i="20"/>
  <c r="L180" i="20"/>
  <c r="L181" i="20"/>
  <c r="L182" i="20"/>
  <c r="L183" i="20"/>
  <c r="L184" i="20"/>
  <c r="L185" i="20"/>
  <c r="L186" i="20"/>
  <c r="L187" i="20"/>
  <c r="L188" i="20"/>
  <c r="L189" i="20"/>
  <c r="L190" i="20"/>
  <c r="L191" i="20"/>
  <c r="L192" i="20"/>
  <c r="L193" i="20"/>
  <c r="L194" i="20"/>
  <c r="L195" i="20"/>
  <c r="L196" i="20"/>
  <c r="L197" i="20"/>
  <c r="L198" i="20"/>
  <c r="L199" i="20"/>
  <c r="L200" i="20"/>
  <c r="L201" i="20"/>
  <c r="L202" i="20"/>
  <c r="L203" i="20"/>
  <c r="L204" i="20"/>
  <c r="L205" i="20"/>
  <c r="L206" i="20"/>
  <c r="L207" i="20"/>
  <c r="L208" i="20"/>
  <c r="L209" i="20"/>
  <c r="L210" i="20"/>
  <c r="L211" i="20"/>
  <c r="L212" i="20"/>
  <c r="L213" i="20"/>
  <c r="L214" i="20"/>
  <c r="L215" i="20"/>
  <c r="L216" i="20"/>
  <c r="L217" i="20"/>
  <c r="L218" i="20"/>
  <c r="L219" i="20"/>
  <c r="L220" i="20"/>
  <c r="L221" i="20"/>
  <c r="L222" i="20"/>
  <c r="L223" i="20"/>
  <c r="L224" i="20"/>
  <c r="L225" i="20"/>
  <c r="L226" i="20"/>
  <c r="L227" i="20"/>
  <c r="L228" i="20"/>
  <c r="L229" i="20"/>
  <c r="L230" i="20"/>
  <c r="L231" i="20"/>
  <c r="L232" i="20"/>
  <c r="L233" i="20"/>
  <c r="L234" i="20"/>
  <c r="L235" i="20"/>
  <c r="L236" i="20"/>
  <c r="L237" i="20"/>
  <c r="L238" i="20"/>
  <c r="L239" i="20"/>
  <c r="L240" i="20"/>
  <c r="L241" i="20"/>
  <c r="L242" i="20"/>
  <c r="L243" i="20"/>
  <c r="L244" i="20"/>
  <c r="L245" i="20"/>
  <c r="L246" i="20"/>
  <c r="L247" i="20"/>
  <c r="L248" i="20"/>
  <c r="L249" i="20"/>
  <c r="L250" i="20"/>
  <c r="L251" i="20"/>
  <c r="L252" i="20"/>
  <c r="L253" i="20"/>
  <c r="L254" i="20"/>
  <c r="L255" i="20"/>
  <c r="L256" i="20"/>
  <c r="L257" i="20"/>
  <c r="L258" i="20"/>
  <c r="L259" i="20"/>
  <c r="L260" i="20"/>
  <c r="L261" i="20"/>
  <c r="L262" i="20"/>
  <c r="L263" i="20"/>
  <c r="L264" i="20"/>
  <c r="L265" i="20"/>
  <c r="L266" i="20"/>
  <c r="L267" i="20"/>
  <c r="L268" i="20"/>
  <c r="L269" i="20"/>
  <c r="L270" i="20"/>
  <c r="L271" i="20"/>
  <c r="L272" i="20"/>
  <c r="L273" i="20"/>
  <c r="L274" i="20"/>
  <c r="L275" i="20"/>
  <c r="L276" i="20"/>
  <c r="L277" i="20"/>
  <c r="L278" i="20"/>
  <c r="L279" i="20"/>
  <c r="L280" i="20"/>
  <c r="L281" i="20"/>
  <c r="L282" i="20"/>
  <c r="L283" i="20"/>
  <c r="L284" i="20"/>
  <c r="L285" i="20"/>
  <c r="L286" i="20"/>
  <c r="L287" i="20"/>
  <c r="L288" i="20"/>
  <c r="L289" i="20"/>
  <c r="L290" i="20"/>
  <c r="L291" i="20"/>
  <c r="L292" i="20"/>
  <c r="L293" i="20"/>
  <c r="L294" i="20"/>
  <c r="L295" i="20"/>
  <c r="L296" i="20"/>
  <c r="L297" i="20"/>
  <c r="L298" i="20"/>
  <c r="L299" i="20"/>
  <c r="L300" i="20"/>
  <c r="L301" i="20"/>
  <c r="D28" i="17"/>
  <c r="D29" i="17"/>
  <c r="D30" i="17"/>
  <c r="D31" i="17"/>
  <c r="D32" i="17"/>
  <c r="D33" i="17"/>
  <c r="D34" i="17"/>
  <c r="D35" i="17"/>
  <c r="D36" i="17"/>
  <c r="D27" i="17"/>
  <c r="E36" i="17"/>
  <c r="E35" i="17"/>
  <c r="E34" i="17"/>
  <c r="E33" i="17"/>
  <c r="E32" i="17"/>
  <c r="E31" i="17"/>
  <c r="E30" i="17"/>
  <c r="E29" i="17"/>
  <c r="E28" i="17"/>
  <c r="E27" i="17"/>
  <c r="C36" i="17"/>
  <c r="C35" i="17"/>
  <c r="C34" i="17"/>
  <c r="C33" i="17"/>
  <c r="C32" i="17"/>
  <c r="C31" i="17"/>
  <c r="C30" i="17"/>
  <c r="C29" i="17"/>
  <c r="C28" i="17"/>
  <c r="C27" i="17"/>
  <c r="K2" i="11"/>
  <c r="K3" i="11"/>
  <c r="K4" i="11"/>
  <c r="K5" i="11"/>
  <c r="K6"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J2" i="11"/>
  <c r="J3" i="11"/>
  <c r="J11" i="11"/>
  <c r="J15" i="11"/>
  <c r="J16" i="11"/>
  <c r="J17" i="11"/>
  <c r="J18" i="11"/>
  <c r="J19" i="11"/>
  <c r="J20" i="11"/>
  <c r="J27" i="11"/>
  <c r="J29" i="11"/>
  <c r="J31" i="11"/>
  <c r="J32" i="11"/>
  <c r="J33" i="11"/>
  <c r="J34" i="11"/>
  <c r="J35" i="11"/>
  <c r="J36" i="11"/>
  <c r="J43" i="11"/>
  <c r="J45" i="11"/>
  <c r="J47" i="11"/>
  <c r="J48" i="11"/>
  <c r="J49" i="11"/>
  <c r="J50" i="11"/>
  <c r="J51" i="11"/>
  <c r="J52" i="11"/>
  <c r="J59" i="11"/>
  <c r="J61" i="11"/>
  <c r="J63" i="11"/>
  <c r="J64" i="11"/>
  <c r="J65" i="11"/>
  <c r="J66" i="11"/>
  <c r="J67" i="11"/>
  <c r="J68" i="11"/>
  <c r="J75" i="11"/>
  <c r="J77" i="11"/>
  <c r="J79" i="11"/>
  <c r="J80" i="11"/>
  <c r="J81" i="11"/>
  <c r="J82" i="11"/>
  <c r="J83" i="11"/>
  <c r="J84" i="11"/>
  <c r="J91" i="11"/>
  <c r="J93" i="11"/>
  <c r="J95" i="11"/>
  <c r="J96" i="11"/>
  <c r="J97" i="11"/>
  <c r="J98" i="11"/>
  <c r="J99" i="11"/>
  <c r="J100" i="11"/>
  <c r="J107" i="11"/>
  <c r="J109" i="11"/>
  <c r="J111" i="11"/>
  <c r="J112" i="11"/>
  <c r="J113" i="11"/>
  <c r="J114" i="11"/>
  <c r="J115" i="11"/>
  <c r="J116" i="11"/>
  <c r="J123" i="11"/>
  <c r="J125" i="11"/>
  <c r="J127" i="11"/>
  <c r="J128" i="11"/>
  <c r="J129" i="11"/>
  <c r="J130" i="11"/>
  <c r="J131" i="11"/>
  <c r="J132" i="11"/>
  <c r="J139" i="11"/>
  <c r="J141" i="11"/>
  <c r="J143" i="11"/>
  <c r="J144" i="11"/>
  <c r="J145" i="11"/>
  <c r="J146" i="11"/>
  <c r="J147" i="11"/>
  <c r="J148" i="11"/>
  <c r="J155" i="11"/>
  <c r="J157" i="11"/>
  <c r="J159" i="11"/>
  <c r="J160" i="11"/>
  <c r="J161" i="11"/>
  <c r="J162" i="11"/>
  <c r="J163" i="11"/>
  <c r="J164" i="11"/>
  <c r="J171" i="11"/>
  <c r="J173" i="11"/>
  <c r="J175" i="11"/>
  <c r="J176" i="11"/>
  <c r="J177" i="11"/>
  <c r="J178" i="11"/>
  <c r="J179" i="11"/>
  <c r="J180" i="11"/>
  <c r="J187" i="11"/>
  <c r="J189" i="11"/>
  <c r="J191" i="11"/>
  <c r="J192" i="11"/>
  <c r="J193" i="11"/>
  <c r="J194" i="11"/>
  <c r="J195" i="11"/>
  <c r="J196" i="11"/>
  <c r="J203" i="11"/>
  <c r="J205" i="11"/>
  <c r="J207" i="11"/>
  <c r="J208" i="11"/>
  <c r="J209" i="11"/>
  <c r="J210" i="11"/>
  <c r="J211" i="11"/>
  <c r="J212" i="11"/>
  <c r="J219" i="11"/>
  <c r="J221" i="11"/>
  <c r="J223" i="11"/>
  <c r="J224" i="11"/>
  <c r="J225" i="11"/>
  <c r="J226" i="11"/>
  <c r="J227" i="11"/>
  <c r="J228" i="11"/>
  <c r="J235" i="11"/>
  <c r="J237" i="11"/>
  <c r="J239" i="11"/>
  <c r="J240" i="11"/>
  <c r="J241" i="11"/>
  <c r="J242" i="11"/>
  <c r="J243" i="11"/>
  <c r="J244" i="11"/>
  <c r="J251" i="11"/>
  <c r="J253" i="11"/>
  <c r="J255" i="11"/>
  <c r="J256" i="11"/>
  <c r="J257" i="11"/>
  <c r="J258" i="11"/>
  <c r="J259" i="11"/>
  <c r="J260" i="11"/>
  <c r="J267" i="11"/>
  <c r="J269" i="11"/>
  <c r="J271" i="11"/>
  <c r="J272" i="11"/>
  <c r="J273" i="11"/>
  <c r="J274" i="11"/>
  <c r="J275" i="11"/>
  <c r="J276" i="11"/>
  <c r="J283" i="11"/>
  <c r="I2" i="11"/>
  <c r="I3" i="11"/>
  <c r="I4" i="11"/>
  <c r="J4" i="11" s="1"/>
  <c r="I5" i="11"/>
  <c r="J5" i="11" s="1"/>
  <c r="I6" i="11"/>
  <c r="J6" i="11" s="1"/>
  <c r="I7" i="11"/>
  <c r="J7" i="11" s="1"/>
  <c r="I8" i="11"/>
  <c r="J8" i="11" s="1"/>
  <c r="I9" i="11"/>
  <c r="J9" i="11" s="1"/>
  <c r="I10" i="11"/>
  <c r="J10" i="11" s="1"/>
  <c r="I11" i="11"/>
  <c r="I12" i="11"/>
  <c r="J12" i="11" s="1"/>
  <c r="I13" i="11"/>
  <c r="J13" i="11" s="1"/>
  <c r="I14" i="11"/>
  <c r="J14" i="11" s="1"/>
  <c r="I15" i="11"/>
  <c r="I16" i="11"/>
  <c r="I17" i="11"/>
  <c r="I18" i="11"/>
  <c r="I19" i="11"/>
  <c r="I20" i="11"/>
  <c r="I21" i="11"/>
  <c r="J21" i="11" s="1"/>
  <c r="I22" i="11"/>
  <c r="J22" i="11" s="1"/>
  <c r="I23" i="11"/>
  <c r="J23" i="11" s="1"/>
  <c r="I24" i="11"/>
  <c r="J24" i="11" s="1"/>
  <c r="I25" i="11"/>
  <c r="J25" i="11" s="1"/>
  <c r="I26" i="11"/>
  <c r="J26" i="11" s="1"/>
  <c r="I27" i="11"/>
  <c r="I28" i="11"/>
  <c r="J28" i="11" s="1"/>
  <c r="I29" i="11"/>
  <c r="I30" i="11"/>
  <c r="J30" i="11" s="1"/>
  <c r="I31" i="11"/>
  <c r="I32" i="11"/>
  <c r="I33" i="11"/>
  <c r="I34" i="11"/>
  <c r="I35" i="11"/>
  <c r="I36" i="11"/>
  <c r="I37" i="11"/>
  <c r="J37" i="11" s="1"/>
  <c r="I38" i="11"/>
  <c r="J38" i="11" s="1"/>
  <c r="I39" i="11"/>
  <c r="J39" i="11" s="1"/>
  <c r="I40" i="11"/>
  <c r="J40" i="11" s="1"/>
  <c r="I41" i="11"/>
  <c r="J41" i="11" s="1"/>
  <c r="I42" i="11"/>
  <c r="J42" i="11" s="1"/>
  <c r="I43" i="11"/>
  <c r="I44" i="11"/>
  <c r="J44" i="11" s="1"/>
  <c r="I45" i="11"/>
  <c r="I46" i="11"/>
  <c r="J46" i="11" s="1"/>
  <c r="I47" i="11"/>
  <c r="I48" i="11"/>
  <c r="I49" i="11"/>
  <c r="I50" i="11"/>
  <c r="I51" i="11"/>
  <c r="I52" i="11"/>
  <c r="I53" i="11"/>
  <c r="J53" i="11" s="1"/>
  <c r="I54" i="11"/>
  <c r="J54" i="11" s="1"/>
  <c r="I55" i="11"/>
  <c r="J55" i="11" s="1"/>
  <c r="I56" i="11"/>
  <c r="J56" i="11" s="1"/>
  <c r="I57" i="11"/>
  <c r="J57" i="11" s="1"/>
  <c r="I58" i="11"/>
  <c r="J58" i="11" s="1"/>
  <c r="I59" i="11"/>
  <c r="I60" i="11"/>
  <c r="J60" i="11" s="1"/>
  <c r="I61" i="11"/>
  <c r="I62" i="11"/>
  <c r="J62" i="11" s="1"/>
  <c r="I63" i="11"/>
  <c r="I64" i="11"/>
  <c r="I65" i="11"/>
  <c r="I66" i="11"/>
  <c r="I67" i="11"/>
  <c r="I68" i="11"/>
  <c r="I69" i="11"/>
  <c r="J69" i="11" s="1"/>
  <c r="I70" i="11"/>
  <c r="J70" i="11" s="1"/>
  <c r="I71" i="11"/>
  <c r="J71" i="11" s="1"/>
  <c r="I72" i="11"/>
  <c r="J72" i="11" s="1"/>
  <c r="I73" i="11"/>
  <c r="J73" i="11" s="1"/>
  <c r="I74" i="11"/>
  <c r="J74" i="11" s="1"/>
  <c r="I75" i="11"/>
  <c r="I76" i="11"/>
  <c r="J76" i="11" s="1"/>
  <c r="I77" i="11"/>
  <c r="I78" i="11"/>
  <c r="J78" i="11" s="1"/>
  <c r="I79" i="11"/>
  <c r="I80" i="11"/>
  <c r="I81" i="11"/>
  <c r="I82" i="11"/>
  <c r="I83" i="11"/>
  <c r="I84" i="11"/>
  <c r="I85" i="11"/>
  <c r="J85" i="11" s="1"/>
  <c r="I86" i="11"/>
  <c r="J86" i="11" s="1"/>
  <c r="I87" i="11"/>
  <c r="J87" i="11" s="1"/>
  <c r="I88" i="11"/>
  <c r="J88" i="11" s="1"/>
  <c r="I89" i="11"/>
  <c r="J89" i="11" s="1"/>
  <c r="I90" i="11"/>
  <c r="J90" i="11" s="1"/>
  <c r="I91" i="11"/>
  <c r="I92" i="11"/>
  <c r="J92" i="11" s="1"/>
  <c r="I93" i="11"/>
  <c r="I94" i="11"/>
  <c r="J94" i="11" s="1"/>
  <c r="I95" i="11"/>
  <c r="I96" i="11"/>
  <c r="I97" i="11"/>
  <c r="I98" i="11"/>
  <c r="I99" i="11"/>
  <c r="I100" i="11"/>
  <c r="I101" i="11"/>
  <c r="J101" i="11" s="1"/>
  <c r="I102" i="11"/>
  <c r="J102" i="11" s="1"/>
  <c r="I103" i="11"/>
  <c r="J103" i="11" s="1"/>
  <c r="I104" i="11"/>
  <c r="J104" i="11" s="1"/>
  <c r="I105" i="11"/>
  <c r="J105" i="11" s="1"/>
  <c r="I106" i="11"/>
  <c r="J106" i="11" s="1"/>
  <c r="I107" i="11"/>
  <c r="I108" i="11"/>
  <c r="J108" i="11" s="1"/>
  <c r="I109" i="11"/>
  <c r="I110" i="11"/>
  <c r="J110" i="11" s="1"/>
  <c r="I111" i="11"/>
  <c r="I112" i="11"/>
  <c r="I113" i="11"/>
  <c r="I114" i="11"/>
  <c r="I115" i="11"/>
  <c r="I116" i="11"/>
  <c r="I117" i="11"/>
  <c r="J117" i="11" s="1"/>
  <c r="I118" i="11"/>
  <c r="J118" i="11" s="1"/>
  <c r="I119" i="11"/>
  <c r="J119" i="11" s="1"/>
  <c r="I120" i="11"/>
  <c r="J120" i="11" s="1"/>
  <c r="I121" i="11"/>
  <c r="J121" i="11" s="1"/>
  <c r="I122" i="11"/>
  <c r="J122" i="11" s="1"/>
  <c r="I123" i="11"/>
  <c r="I124" i="11"/>
  <c r="J124" i="11" s="1"/>
  <c r="I125" i="11"/>
  <c r="I126" i="11"/>
  <c r="J126" i="11" s="1"/>
  <c r="I127" i="11"/>
  <c r="I128" i="11"/>
  <c r="I129" i="11"/>
  <c r="I130" i="11"/>
  <c r="I131" i="11"/>
  <c r="I132" i="11"/>
  <c r="I133" i="11"/>
  <c r="J133" i="11" s="1"/>
  <c r="I134" i="11"/>
  <c r="J134" i="11" s="1"/>
  <c r="I135" i="11"/>
  <c r="J135" i="11" s="1"/>
  <c r="I136" i="11"/>
  <c r="J136" i="11" s="1"/>
  <c r="I137" i="11"/>
  <c r="J137" i="11" s="1"/>
  <c r="I138" i="11"/>
  <c r="J138" i="11" s="1"/>
  <c r="I139" i="11"/>
  <c r="I140" i="11"/>
  <c r="J140" i="11" s="1"/>
  <c r="I141" i="11"/>
  <c r="I142" i="11"/>
  <c r="J142" i="11" s="1"/>
  <c r="I143" i="11"/>
  <c r="I144" i="11"/>
  <c r="I145" i="11"/>
  <c r="I146" i="11"/>
  <c r="I147" i="11"/>
  <c r="I148" i="11"/>
  <c r="I149" i="11"/>
  <c r="J149" i="11" s="1"/>
  <c r="I150" i="11"/>
  <c r="J150" i="11" s="1"/>
  <c r="I151" i="11"/>
  <c r="J151" i="11" s="1"/>
  <c r="I152" i="11"/>
  <c r="J152" i="11" s="1"/>
  <c r="I153" i="11"/>
  <c r="J153" i="11" s="1"/>
  <c r="I154" i="11"/>
  <c r="J154" i="11" s="1"/>
  <c r="I155" i="11"/>
  <c r="I156" i="11"/>
  <c r="J156" i="11" s="1"/>
  <c r="I157" i="11"/>
  <c r="I158" i="11"/>
  <c r="J158" i="11" s="1"/>
  <c r="I159" i="11"/>
  <c r="I160" i="11"/>
  <c r="I161" i="11"/>
  <c r="I162" i="11"/>
  <c r="I163" i="11"/>
  <c r="I164" i="11"/>
  <c r="I165" i="11"/>
  <c r="J165" i="11" s="1"/>
  <c r="I166" i="11"/>
  <c r="J166" i="11" s="1"/>
  <c r="I167" i="11"/>
  <c r="J167" i="11" s="1"/>
  <c r="I168" i="11"/>
  <c r="J168" i="11" s="1"/>
  <c r="I169" i="11"/>
  <c r="J169" i="11" s="1"/>
  <c r="I170" i="11"/>
  <c r="J170" i="11" s="1"/>
  <c r="I171" i="11"/>
  <c r="I172" i="11"/>
  <c r="J172" i="11" s="1"/>
  <c r="I173" i="11"/>
  <c r="I174" i="11"/>
  <c r="J174" i="11" s="1"/>
  <c r="I175" i="11"/>
  <c r="I176" i="11"/>
  <c r="I177" i="11"/>
  <c r="I178" i="11"/>
  <c r="I179" i="11"/>
  <c r="I180" i="11"/>
  <c r="I181" i="11"/>
  <c r="J181" i="11" s="1"/>
  <c r="I182" i="11"/>
  <c r="J182" i="11" s="1"/>
  <c r="I183" i="11"/>
  <c r="J183" i="11" s="1"/>
  <c r="I184" i="11"/>
  <c r="J184" i="11" s="1"/>
  <c r="I185" i="11"/>
  <c r="J185" i="11" s="1"/>
  <c r="I186" i="11"/>
  <c r="J186" i="11" s="1"/>
  <c r="I187" i="11"/>
  <c r="I188" i="11"/>
  <c r="J188" i="11" s="1"/>
  <c r="I189" i="11"/>
  <c r="I190" i="11"/>
  <c r="J190" i="11" s="1"/>
  <c r="I191" i="11"/>
  <c r="I192" i="11"/>
  <c r="I193" i="11"/>
  <c r="I194" i="11"/>
  <c r="I195" i="11"/>
  <c r="I196" i="11"/>
  <c r="I197" i="11"/>
  <c r="J197" i="11" s="1"/>
  <c r="I198" i="11"/>
  <c r="J198" i="11" s="1"/>
  <c r="I199" i="11"/>
  <c r="J199" i="11" s="1"/>
  <c r="I200" i="11"/>
  <c r="J200" i="11" s="1"/>
  <c r="I201" i="11"/>
  <c r="J201" i="11" s="1"/>
  <c r="I202" i="11"/>
  <c r="J202" i="11" s="1"/>
  <c r="I203" i="11"/>
  <c r="I204" i="11"/>
  <c r="J204" i="11" s="1"/>
  <c r="I205" i="11"/>
  <c r="I206" i="11"/>
  <c r="J206" i="11" s="1"/>
  <c r="I207" i="11"/>
  <c r="I208" i="11"/>
  <c r="I209" i="11"/>
  <c r="I210" i="11"/>
  <c r="I211" i="11"/>
  <c r="I212" i="11"/>
  <c r="I213" i="11"/>
  <c r="J213" i="11" s="1"/>
  <c r="I214" i="11"/>
  <c r="J214" i="11" s="1"/>
  <c r="I215" i="11"/>
  <c r="J215" i="11" s="1"/>
  <c r="I216" i="11"/>
  <c r="J216" i="11" s="1"/>
  <c r="I217" i="11"/>
  <c r="J217" i="11" s="1"/>
  <c r="I218" i="11"/>
  <c r="J218" i="11" s="1"/>
  <c r="I219" i="11"/>
  <c r="I220" i="11"/>
  <c r="J220" i="11" s="1"/>
  <c r="I221" i="11"/>
  <c r="I222" i="11"/>
  <c r="J222" i="11" s="1"/>
  <c r="I223" i="11"/>
  <c r="I224" i="11"/>
  <c r="I225" i="11"/>
  <c r="I226" i="11"/>
  <c r="I227" i="11"/>
  <c r="I228" i="11"/>
  <c r="I229" i="11"/>
  <c r="J229" i="11" s="1"/>
  <c r="I230" i="11"/>
  <c r="J230" i="11" s="1"/>
  <c r="I231" i="11"/>
  <c r="J231" i="11" s="1"/>
  <c r="I232" i="11"/>
  <c r="J232" i="11" s="1"/>
  <c r="I233" i="11"/>
  <c r="J233" i="11" s="1"/>
  <c r="I234" i="11"/>
  <c r="J234" i="11" s="1"/>
  <c r="I235" i="11"/>
  <c r="I236" i="11"/>
  <c r="J236" i="11" s="1"/>
  <c r="I237" i="11"/>
  <c r="I238" i="11"/>
  <c r="J238" i="11" s="1"/>
  <c r="I239" i="11"/>
  <c r="I240" i="11"/>
  <c r="I241" i="11"/>
  <c r="I242" i="11"/>
  <c r="I243" i="11"/>
  <c r="I244" i="11"/>
  <c r="I245" i="11"/>
  <c r="J245" i="11" s="1"/>
  <c r="I246" i="11"/>
  <c r="J246" i="11" s="1"/>
  <c r="I247" i="11"/>
  <c r="J247" i="11" s="1"/>
  <c r="I248" i="11"/>
  <c r="J248" i="11" s="1"/>
  <c r="I249" i="11"/>
  <c r="J249" i="11" s="1"/>
  <c r="I250" i="11"/>
  <c r="J250" i="11" s="1"/>
  <c r="I251" i="11"/>
  <c r="I252" i="11"/>
  <c r="J252" i="11" s="1"/>
  <c r="I253" i="11"/>
  <c r="I254" i="11"/>
  <c r="J254" i="11" s="1"/>
  <c r="I255" i="11"/>
  <c r="I256" i="11"/>
  <c r="I257" i="11"/>
  <c r="I258" i="11"/>
  <c r="I259" i="11"/>
  <c r="I260" i="11"/>
  <c r="I261" i="11"/>
  <c r="J261" i="11" s="1"/>
  <c r="I262" i="11"/>
  <c r="J262" i="11" s="1"/>
  <c r="I263" i="11"/>
  <c r="J263" i="11" s="1"/>
  <c r="I264" i="11"/>
  <c r="J264" i="11" s="1"/>
  <c r="I265" i="11"/>
  <c r="J265" i="11" s="1"/>
  <c r="I266" i="11"/>
  <c r="J266" i="11" s="1"/>
  <c r="I267" i="11"/>
  <c r="I268" i="11"/>
  <c r="J268" i="11" s="1"/>
  <c r="I269" i="11"/>
  <c r="I270" i="11"/>
  <c r="J270" i="11" s="1"/>
  <c r="I271" i="11"/>
  <c r="I272" i="11"/>
  <c r="I273" i="11"/>
  <c r="I274" i="11"/>
  <c r="I275" i="11"/>
  <c r="I276" i="11"/>
  <c r="I277" i="11"/>
  <c r="J277" i="11" s="1"/>
  <c r="I278" i="11"/>
  <c r="J278" i="11" s="1"/>
  <c r="I279" i="11"/>
  <c r="J279" i="11" s="1"/>
  <c r="I280" i="11"/>
  <c r="J280" i="11" s="1"/>
  <c r="I281" i="11"/>
  <c r="J281" i="11" s="1"/>
  <c r="I282" i="11"/>
  <c r="J282" i="11" s="1"/>
  <c r="I283" i="11"/>
  <c r="I283" i="15"/>
  <c r="I282" i="15"/>
  <c r="I281" i="15"/>
  <c r="I280" i="15"/>
  <c r="I279" i="15"/>
  <c r="I278" i="15"/>
  <c r="I277" i="15"/>
  <c r="I276" i="15"/>
  <c r="I275" i="15"/>
  <c r="I274" i="15"/>
  <c r="I273" i="15"/>
  <c r="I272" i="15"/>
  <c r="I271" i="15"/>
  <c r="I270" i="15"/>
  <c r="I269" i="15"/>
  <c r="I268" i="15"/>
  <c r="I267" i="15"/>
  <c r="I266" i="15"/>
  <c r="I265" i="15"/>
  <c r="I264" i="15"/>
  <c r="I263" i="15"/>
  <c r="I262" i="15"/>
  <c r="I261" i="15"/>
  <c r="I260" i="15"/>
  <c r="I259" i="15"/>
  <c r="I258" i="15"/>
  <c r="I257" i="15"/>
  <c r="I256" i="15"/>
  <c r="I255" i="15"/>
  <c r="I254" i="15"/>
  <c r="I253" i="15"/>
  <c r="I252" i="15"/>
  <c r="I251" i="15"/>
  <c r="I250" i="15"/>
  <c r="I249" i="15"/>
  <c r="I248" i="15"/>
  <c r="I247" i="15"/>
  <c r="I246" i="15"/>
  <c r="I245" i="15"/>
  <c r="I244" i="15"/>
  <c r="I243" i="15"/>
  <c r="I242" i="15"/>
  <c r="I241" i="15"/>
  <c r="I240" i="15"/>
  <c r="I239" i="15"/>
  <c r="I238" i="15"/>
  <c r="I237" i="15"/>
  <c r="I236" i="15"/>
  <c r="I235" i="15"/>
  <c r="I234" i="15"/>
  <c r="I233" i="15"/>
  <c r="I232" i="15"/>
  <c r="I231" i="15"/>
  <c r="I230" i="15"/>
  <c r="I229" i="15"/>
  <c r="I228" i="15"/>
  <c r="I227" i="15"/>
  <c r="I226" i="15"/>
  <c r="I225" i="15"/>
  <c r="I224" i="15"/>
  <c r="I223" i="15"/>
  <c r="I222" i="15"/>
  <c r="I221" i="15"/>
  <c r="I220" i="15"/>
  <c r="I219" i="15"/>
  <c r="I218" i="15"/>
  <c r="I217" i="15"/>
  <c r="I216" i="15"/>
  <c r="I215" i="15"/>
  <c r="I214" i="15"/>
  <c r="I213" i="15"/>
  <c r="I212" i="15"/>
  <c r="I211" i="15"/>
  <c r="I210" i="15"/>
  <c r="I209" i="15"/>
  <c r="I208" i="15"/>
  <c r="I207" i="15"/>
  <c r="I206" i="15"/>
  <c r="I205" i="15"/>
  <c r="I204" i="15"/>
  <c r="I203" i="15"/>
  <c r="I202" i="15"/>
  <c r="I201" i="15"/>
  <c r="I200" i="15"/>
  <c r="I199" i="15"/>
  <c r="I198" i="15"/>
  <c r="I197" i="15"/>
  <c r="I196" i="15"/>
  <c r="I195" i="15"/>
  <c r="I194" i="15"/>
  <c r="I193" i="15"/>
  <c r="I192" i="15"/>
  <c r="I191" i="15"/>
  <c r="I190" i="15"/>
  <c r="I189" i="15"/>
  <c r="I188" i="15"/>
  <c r="I187" i="15"/>
  <c r="I186" i="15"/>
  <c r="I185" i="15"/>
  <c r="I184" i="15"/>
  <c r="I183" i="15"/>
  <c r="I182" i="15"/>
  <c r="I181" i="15"/>
  <c r="I180" i="15"/>
  <c r="I179" i="15"/>
  <c r="I178" i="15"/>
  <c r="I177" i="15"/>
  <c r="I176" i="15"/>
  <c r="I175" i="15"/>
  <c r="I174" i="15"/>
  <c r="I173" i="15"/>
  <c r="I172" i="15"/>
  <c r="I171" i="15"/>
  <c r="I170" i="15"/>
  <c r="I169" i="15"/>
  <c r="I168" i="15"/>
  <c r="I167" i="15"/>
  <c r="I166" i="15"/>
  <c r="I165" i="15"/>
  <c r="I164" i="15"/>
  <c r="I163" i="15"/>
  <c r="I162" i="15"/>
  <c r="I161" i="15"/>
  <c r="I160" i="15"/>
  <c r="I159" i="15"/>
  <c r="I158" i="15"/>
  <c r="I157" i="15"/>
  <c r="I156" i="15"/>
  <c r="I155" i="15"/>
  <c r="I154" i="15"/>
  <c r="I153" i="15"/>
  <c r="I152" i="15"/>
  <c r="I151" i="15"/>
  <c r="I150" i="15"/>
  <c r="I149" i="15"/>
  <c r="I148" i="15"/>
  <c r="I147" i="15"/>
  <c r="I146" i="15"/>
  <c r="I145" i="15"/>
  <c r="I144" i="15"/>
  <c r="I143" i="15"/>
  <c r="I142" i="15"/>
  <c r="I141" i="15"/>
  <c r="I140" i="15"/>
  <c r="I139" i="15"/>
  <c r="I138" i="15"/>
  <c r="I137" i="15"/>
  <c r="I136" i="15"/>
  <c r="I135" i="15"/>
  <c r="I134" i="15"/>
  <c r="I133" i="15"/>
  <c r="I132" i="15"/>
  <c r="I131" i="15"/>
  <c r="I130" i="15"/>
  <c r="I129" i="15"/>
  <c r="I128" i="15"/>
  <c r="I127" i="15"/>
  <c r="I126" i="15"/>
  <c r="I125" i="15"/>
  <c r="I124" i="15"/>
  <c r="I123" i="15"/>
  <c r="I122" i="15"/>
  <c r="I121" i="15"/>
  <c r="I120" i="15"/>
  <c r="I119" i="15"/>
  <c r="I118" i="15"/>
  <c r="I117" i="15"/>
  <c r="I116" i="15"/>
  <c r="I115" i="15"/>
  <c r="I114" i="15"/>
  <c r="I113" i="15"/>
  <c r="I112" i="15"/>
  <c r="I111" i="15"/>
  <c r="I110" i="15"/>
  <c r="I109" i="15"/>
  <c r="I108" i="15"/>
  <c r="I107" i="15"/>
  <c r="I106" i="15"/>
  <c r="I105" i="15"/>
  <c r="I104" i="15"/>
  <c r="I103" i="15"/>
  <c r="I102" i="15"/>
  <c r="I101" i="15"/>
  <c r="I100" i="15"/>
  <c r="I99" i="15"/>
  <c r="I98" i="15"/>
  <c r="I97" i="15"/>
  <c r="I96" i="15"/>
  <c r="I95" i="15"/>
  <c r="I94" i="15"/>
  <c r="I93" i="15"/>
  <c r="I92" i="15"/>
  <c r="I91" i="15"/>
  <c r="I90" i="15"/>
  <c r="I89" i="15"/>
  <c r="I88" i="15"/>
  <c r="I87" i="15"/>
  <c r="I86" i="15"/>
  <c r="I85" i="15"/>
  <c r="I84" i="15"/>
  <c r="I83" i="15"/>
  <c r="I82" i="15"/>
  <c r="I81" i="15"/>
  <c r="I80" i="15"/>
  <c r="I79" i="15"/>
  <c r="I78" i="15"/>
  <c r="I77" i="15"/>
  <c r="I76" i="15"/>
  <c r="I75" i="15"/>
  <c r="I74" i="15"/>
  <c r="I73" i="15"/>
  <c r="I72" i="15"/>
  <c r="I71" i="15"/>
  <c r="I70" i="15"/>
  <c r="I69" i="15"/>
  <c r="I68" i="15"/>
  <c r="I67" i="15"/>
  <c r="I66" i="15"/>
  <c r="I65" i="15"/>
  <c r="I64" i="15"/>
  <c r="I63" i="15"/>
  <c r="I62" i="15"/>
  <c r="I61" i="15"/>
  <c r="I60" i="15"/>
  <c r="I59" i="15"/>
  <c r="I58" i="15"/>
  <c r="I57" i="15"/>
  <c r="I56" i="15"/>
  <c r="I55" i="15"/>
  <c r="I54" i="15"/>
  <c r="I53" i="15"/>
  <c r="I52" i="15"/>
  <c r="I51" i="15"/>
  <c r="I50" i="15"/>
  <c r="I49" i="15"/>
  <c r="I48" i="15"/>
  <c r="I47" i="15"/>
  <c r="I46" i="15"/>
  <c r="I45" i="15"/>
  <c r="I44" i="15"/>
  <c r="I43" i="15"/>
  <c r="I42" i="15"/>
  <c r="I41" i="15"/>
  <c r="I40" i="15"/>
  <c r="I39" i="15"/>
  <c r="I38" i="15"/>
  <c r="I37" i="15"/>
  <c r="I36" i="15"/>
  <c r="I35" i="15"/>
  <c r="I34" i="15"/>
  <c r="I33" i="15"/>
  <c r="I32" i="15"/>
  <c r="I31" i="15"/>
  <c r="I30" i="15"/>
  <c r="I29" i="15"/>
  <c r="I28" i="15"/>
  <c r="I27" i="15"/>
  <c r="I26" i="15"/>
  <c r="I25" i="15"/>
  <c r="I24" i="15"/>
  <c r="I23" i="15"/>
  <c r="I22" i="15"/>
  <c r="I21" i="15"/>
  <c r="I20" i="15"/>
  <c r="I19" i="15"/>
  <c r="I18" i="15"/>
  <c r="I17" i="15"/>
  <c r="I16" i="15"/>
  <c r="I15" i="15"/>
  <c r="I14" i="15"/>
  <c r="I13" i="15"/>
  <c r="I12" i="15"/>
  <c r="I11" i="15"/>
  <c r="I10" i="15"/>
  <c r="I9" i="15"/>
  <c r="I8" i="15"/>
  <c r="I7" i="15"/>
  <c r="I6" i="15"/>
  <c r="I5" i="15"/>
  <c r="I4" i="15"/>
  <c r="I3" i="15"/>
  <c r="I2" i="15"/>
  <c r="AI39" i="14"/>
  <c r="AI38" i="14"/>
  <c r="AI37" i="14"/>
  <c r="AI36" i="14"/>
  <c r="AI35" i="14"/>
  <c r="AH39" i="14"/>
  <c r="AH38" i="14"/>
  <c r="AH37" i="14"/>
  <c r="AH36" i="14"/>
  <c r="AH35" i="14"/>
  <c r="G14" i="9"/>
  <c r="I14" i="9"/>
  <c r="I13" i="9"/>
  <c r="G13" i="9"/>
  <c r="G12" i="9"/>
  <c r="I12" i="9"/>
  <c r="I11" i="9"/>
  <c r="G11" i="9"/>
  <c r="I10" i="9"/>
  <c r="G10" i="9"/>
  <c r="O3" i="3"/>
  <c r="G6" i="7"/>
  <c r="AI40" i="14" l="1"/>
  <c r="G85" i="9"/>
  <c r="G86" i="9"/>
  <c r="G83" i="9"/>
  <c r="G84" i="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AB659A-FB0C-4DB1-9CBD-5B55AA46871A}" keepAlive="1" name="Query - Sheet1" description="Connection to the 'Sheet1' query in the workbook." type="5" refreshedVersion="8" background="1" saveData="1">
    <dbPr connection="Provider=Microsoft.Mashup.OleDb.1;Data Source=$Workbook$;Location=Sheet1;Extended Properties=&quot;&quot;" command="SELECT * FROM [Sheet1]"/>
  </connection>
  <connection id="2" xr16:uid="{4FEEDC56-D913-4A19-8914-626323F94AAA}" keepAlive="1" name="Query - Sheet1 (2)" description="Connection to the 'Sheet1 (2)' query in the workbook." type="5" refreshedVersion="8" background="1" saveData="1">
    <dbPr connection="Provider=Microsoft.Mashup.OleDb.1;Data Source=$Workbook$;Location=&quot;Sheet1 (2)&quot;;Extended Properties=&quot;&quot;" command="SELECT * FROM [Sheet1 (2)]"/>
  </connection>
</connections>
</file>

<file path=xl/sharedStrings.xml><?xml version="1.0" encoding="utf-8"?>
<sst xmlns="http://schemas.openxmlformats.org/spreadsheetml/2006/main" count="3390" uniqueCount="930">
  <si>
    <t>Coin Name</t>
  </si>
  <si>
    <t>Symbol</t>
  </si>
  <si>
    <t>Price (USD)</t>
  </si>
  <si>
    <t>1h Change (%)</t>
  </si>
  <si>
    <t>Market Cap</t>
  </si>
  <si>
    <t>Volume (24h) USD</t>
  </si>
  <si>
    <t>CoinMarketCap 20 Index DTF</t>
  </si>
  <si>
    <t>CMC20</t>
  </si>
  <si>
    <t>Bitcoin</t>
  </si>
  <si>
    <t>BTC</t>
  </si>
  <si>
    <t>Ethereum</t>
  </si>
  <si>
    <t>ETH</t>
  </si>
  <si>
    <t>Tether</t>
  </si>
  <si>
    <t>USDT</t>
  </si>
  <si>
    <t>BNB</t>
  </si>
  <si>
    <t>XRP</t>
  </si>
  <si>
    <t>USDC</t>
  </si>
  <si>
    <t>Solana</t>
  </si>
  <si>
    <t>SOL</t>
  </si>
  <si>
    <t>TRON</t>
  </si>
  <si>
    <t>TRX</t>
  </si>
  <si>
    <t>Hyperliquid</t>
  </si>
  <si>
    <t>HYPE</t>
  </si>
  <si>
    <t>Dogecoin</t>
  </si>
  <si>
    <t>DOGE</t>
  </si>
  <si>
    <t>Zcash</t>
  </si>
  <si>
    <t>ZEC</t>
  </si>
  <si>
    <t>UNUS SED LEO</t>
  </si>
  <si>
    <t>LEO</t>
  </si>
  <si>
    <t>Stellar</t>
  </si>
  <si>
    <t>XLM</t>
  </si>
  <si>
    <t>Tezos</t>
  </si>
  <si>
    <t>XTZ</t>
  </si>
  <si>
    <t>Pyth Network</t>
  </si>
  <si>
    <t>PYTH</t>
  </si>
  <si>
    <t>Curve DAO Token</t>
  </si>
  <si>
    <t>CRV</t>
  </si>
  <si>
    <t>Immutable</t>
  </si>
  <si>
    <t>IMX</t>
  </si>
  <si>
    <t>ether.fi</t>
  </si>
  <si>
    <t>ETHFI</t>
  </si>
  <si>
    <t>SPX6900</t>
  </si>
  <si>
    <t>SPX</t>
  </si>
  <si>
    <t>BitTorrent [New]</t>
  </si>
  <si>
    <t>BTT</t>
  </si>
  <si>
    <t>Gnosis</t>
  </si>
  <si>
    <t>GNO</t>
  </si>
  <si>
    <t>Jito</t>
  </si>
  <si>
    <t>JTO</t>
  </si>
  <si>
    <t>DoubleZero</t>
  </si>
  <si>
    <t>2Z</t>
  </si>
  <si>
    <t>Zebec Network</t>
  </si>
  <si>
    <t>ZBCN</t>
  </si>
  <si>
    <t>Rain</t>
  </si>
  <si>
    <t>RAIN</t>
  </si>
  <si>
    <t>LAB</t>
  </si>
  <si>
    <t>Ondo US Dollar Yield</t>
  </si>
  <si>
    <t>USDY</t>
  </si>
  <si>
    <t>HTX</t>
  </si>
  <si>
    <t>Falcon USD</t>
  </si>
  <si>
    <t>USDf</t>
  </si>
  <si>
    <t>c8ntinuum</t>
  </si>
  <si>
    <t>CTM</t>
  </si>
  <si>
    <t>Jupiter Perps LP</t>
  </si>
  <si>
    <t>JLP</t>
  </si>
  <si>
    <t>Beldex</t>
  </si>
  <si>
    <t>BDX</t>
  </si>
  <si>
    <t>GHO</t>
  </si>
  <si>
    <t>TBLL tokenized ETF (xStock)</t>
  </si>
  <si>
    <t>TBLLX</t>
  </si>
  <si>
    <t>Solstice USX</t>
  </si>
  <si>
    <t>USX</t>
  </si>
  <si>
    <t>USDGO</t>
  </si>
  <si>
    <t>MetYa</t>
  </si>
  <si>
    <t>MY</t>
  </si>
  <si>
    <t>Q</t>
  </si>
  <si>
    <t>Huma Finance</t>
  </si>
  <si>
    <t>HUMA</t>
  </si>
  <si>
    <t>GEODNET</t>
  </si>
  <si>
    <t>GEOD</t>
  </si>
  <si>
    <t>Glidr</t>
  </si>
  <si>
    <t>GLIDR</t>
  </si>
  <si>
    <t>Vitalum</t>
  </si>
  <si>
    <t>VAM</t>
  </si>
  <si>
    <t>World Mobile Token</t>
  </si>
  <si>
    <t>WMTX</t>
  </si>
  <si>
    <t>MVL</t>
  </si>
  <si>
    <t>iShares Silver Trust Tokenized ETF (Ondo)</t>
  </si>
  <si>
    <t>SLVon</t>
  </si>
  <si>
    <t>SATS (Ordinals)</t>
  </si>
  <si>
    <t>SATS</t>
  </si>
  <si>
    <t>Wirex Token</t>
  </si>
  <si>
    <t>WXT</t>
  </si>
  <si>
    <t>Adshares</t>
  </si>
  <si>
    <t>ADS</t>
  </si>
  <si>
    <t>Aura</t>
  </si>
  <si>
    <t>AURA</t>
  </si>
  <si>
    <t>Alchemix</t>
  </si>
  <si>
    <t>ALCX</t>
  </si>
  <si>
    <t>Klever Coin</t>
  </si>
  <si>
    <t>KLV</t>
  </si>
  <si>
    <t>AMO Coin</t>
  </si>
  <si>
    <t>AMO</t>
  </si>
  <si>
    <t>BugsCoin</t>
  </si>
  <si>
    <t>BGSC</t>
  </si>
  <si>
    <t>NFPrompt</t>
  </si>
  <si>
    <t>NFP</t>
  </si>
  <si>
    <t>Solv Protocol</t>
  </si>
  <si>
    <t>SOLV</t>
  </si>
  <si>
    <t>ALTSEASON</t>
  </si>
  <si>
    <t>ALTSZN</t>
  </si>
  <si>
    <t>Robinhood Markets Tokenized Stock (Ondo)</t>
  </si>
  <si>
    <t>HOODon</t>
  </si>
  <si>
    <t>Bluzelle</t>
  </si>
  <si>
    <t>BLZ</t>
  </si>
  <si>
    <t>Purple Pepe</t>
  </si>
  <si>
    <t>$PURPE</t>
  </si>
  <si>
    <t>375ai</t>
  </si>
  <si>
    <t>EAT</t>
  </si>
  <si>
    <t>Aavegotchi</t>
  </si>
  <si>
    <t>GHST</t>
  </si>
  <si>
    <t>Dimitra</t>
  </si>
  <si>
    <t>DMTR</t>
  </si>
  <si>
    <t>Balance</t>
  </si>
  <si>
    <t>EPT</t>
  </si>
  <si>
    <t>Real</t>
  </si>
  <si>
    <t>REAL</t>
  </si>
  <si>
    <t>Roam</t>
  </si>
  <si>
    <t>ROAM</t>
  </si>
  <si>
    <t>Aleph Zero</t>
  </si>
  <si>
    <t>AZERO</t>
  </si>
  <si>
    <t>NikolAI</t>
  </si>
  <si>
    <t>NIKO</t>
  </si>
  <si>
    <t>LOL (lolonsol)</t>
  </si>
  <si>
    <t>LOL</t>
  </si>
  <si>
    <t>Step App</t>
  </si>
  <si>
    <t>FITFI</t>
  </si>
  <si>
    <t>JD.com Tokenized Stock (Ondo)</t>
  </si>
  <si>
    <t>JDon</t>
  </si>
  <si>
    <t>MASK</t>
  </si>
  <si>
    <t>WAR</t>
  </si>
  <si>
    <t>BeB</t>
  </si>
  <si>
    <t>BEB1M</t>
  </si>
  <si>
    <t>Valid Coin</t>
  </si>
  <si>
    <t>Yes</t>
  </si>
  <si>
    <t>No</t>
  </si>
  <si>
    <t>Grand Total</t>
  </si>
  <si>
    <t>Sum of Volume (24h) USD</t>
  </si>
  <si>
    <t>Highest Coin Price</t>
  </si>
  <si>
    <t>Total Valid Coins</t>
  </si>
  <si>
    <t>Average of Volume (24h) USD</t>
  </si>
  <si>
    <t>Sum of Market Cap</t>
  </si>
  <si>
    <t>Sum of Price (USD)</t>
  </si>
  <si>
    <t>CRYPTO ANALYTICS DASHBOARD</t>
  </si>
  <si>
    <t xml:space="preserve">Current Time : </t>
  </si>
  <si>
    <t>Circulating Supply</t>
  </si>
  <si>
    <t>Row Labels</t>
  </si>
  <si>
    <t>Column Labels</t>
  </si>
  <si>
    <t>Canton</t>
  </si>
  <si>
    <t>CC</t>
  </si>
  <si>
    <t>Celestia</t>
  </si>
  <si>
    <t>TIA</t>
  </si>
  <si>
    <t>AINFT</t>
  </si>
  <si>
    <t>NFT</t>
  </si>
  <si>
    <t>Chiliz</t>
  </si>
  <si>
    <t>CHZ</t>
  </si>
  <si>
    <t>Monad</t>
  </si>
  <si>
    <t>MON</t>
  </si>
  <si>
    <t>Legacy Frax Dollar</t>
  </si>
  <si>
    <t>FRAX</t>
  </si>
  <si>
    <t>Kamino</t>
  </si>
  <si>
    <t>KMNO</t>
  </si>
  <si>
    <t>Coca-Cola tokenized stock (xStock)</t>
  </si>
  <si>
    <t>KOX</t>
  </si>
  <si>
    <t>iShares Core S&amp;P 500 Tokenized ETF (Ondo)</t>
  </si>
  <si>
    <t>IVVon</t>
  </si>
  <si>
    <t>Ravencoin</t>
  </si>
  <si>
    <t>RVN</t>
  </si>
  <si>
    <t>Berachain</t>
  </si>
  <si>
    <t>BERA</t>
  </si>
  <si>
    <t>MindWaveDAO</t>
  </si>
  <si>
    <t>NILA</t>
  </si>
  <si>
    <t>AIOZ Network</t>
  </si>
  <si>
    <t>AIOZ</t>
  </si>
  <si>
    <t>Derive</t>
  </si>
  <si>
    <t>DRV</t>
  </si>
  <si>
    <t>Kusama</t>
  </si>
  <si>
    <t>KSM</t>
  </si>
  <si>
    <t>Collector Crypt</t>
  </si>
  <si>
    <t>CARDS</t>
  </si>
  <si>
    <t>Core MSCI Emerging Markets Tokenised ETF (xStock)</t>
  </si>
  <si>
    <t>IEMGx</t>
  </si>
  <si>
    <t>Plume</t>
  </si>
  <si>
    <t>PLUME</t>
  </si>
  <si>
    <t>Axelar</t>
  </si>
  <si>
    <t>AXL</t>
  </si>
  <si>
    <t>Global X Copper Miners Tokenised ETF (xStock)</t>
  </si>
  <si>
    <t>COPXx</t>
  </si>
  <si>
    <t>TQQQ tokenized ETF (xStock)</t>
  </si>
  <si>
    <t>TQQQX</t>
  </si>
  <si>
    <t>ECOMI</t>
  </si>
  <si>
    <t>OMI</t>
  </si>
  <si>
    <t>SushiSwap</t>
  </si>
  <si>
    <t>SUSHI</t>
  </si>
  <si>
    <t>Ton Strategy tokenized stock (xStock)</t>
  </si>
  <si>
    <t>TONXX</t>
  </si>
  <si>
    <t>Astar</t>
  </si>
  <si>
    <t>ASTR</t>
  </si>
  <si>
    <t>Ronin</t>
  </si>
  <si>
    <t>RON</t>
  </si>
  <si>
    <t>Creditcoin</t>
  </si>
  <si>
    <t>CTC</t>
  </si>
  <si>
    <t>Matrixdock Gold</t>
  </si>
  <si>
    <t>XAUM</t>
  </si>
  <si>
    <t>Janction</t>
  </si>
  <si>
    <t>JCT</t>
  </si>
  <si>
    <t>Allora</t>
  </si>
  <si>
    <t>ALLO</t>
  </si>
  <si>
    <t>OpenServ</t>
  </si>
  <si>
    <t>SERV</t>
  </si>
  <si>
    <t>io.net</t>
  </si>
  <si>
    <t>IO</t>
  </si>
  <si>
    <t>Amp</t>
  </si>
  <si>
    <t>AMP</t>
  </si>
  <si>
    <t>Succinct</t>
  </si>
  <si>
    <t>PROVE</t>
  </si>
  <si>
    <t>Celo Dollar</t>
  </si>
  <si>
    <t>CUSD</t>
  </si>
  <si>
    <t>Memecoin</t>
  </si>
  <si>
    <t>MEME</t>
  </si>
  <si>
    <t>lium</t>
  </si>
  <si>
    <t>SN51</t>
  </si>
  <si>
    <t>PepsiCo tokenized stock (xStock)</t>
  </si>
  <si>
    <t>PEPX</t>
  </si>
  <si>
    <t>Mask Network</t>
  </si>
  <si>
    <t>Terra</t>
  </si>
  <si>
    <t>LUNA</t>
  </si>
  <si>
    <t>International Business Machines tokenized stock (xStock)</t>
  </si>
  <si>
    <t>IBMX</t>
  </si>
  <si>
    <t>Bank of America tokenized stock (xStock)</t>
  </si>
  <si>
    <t>BACX</t>
  </si>
  <si>
    <t>Anchored Coins AEUR</t>
  </si>
  <si>
    <t>AEUR</t>
  </si>
  <si>
    <t>Marvell Technology Tokenized Stock (Ondo)</t>
  </si>
  <si>
    <t>MRVLon</t>
  </si>
  <si>
    <t>Avantis</t>
  </si>
  <si>
    <t>AVNT</t>
  </si>
  <si>
    <t>deBridge</t>
  </si>
  <si>
    <t>DBR</t>
  </si>
  <si>
    <t>COTI</t>
  </si>
  <si>
    <t>Yei Finance</t>
  </si>
  <si>
    <t>CLO</t>
  </si>
  <si>
    <t>BORA</t>
  </si>
  <si>
    <t>Powerledger</t>
  </si>
  <si>
    <t>POWR</t>
  </si>
  <si>
    <t>Stronghold SHx</t>
  </si>
  <si>
    <t>SHX</t>
  </si>
  <si>
    <t>Renzo</t>
  </si>
  <si>
    <t>REZ</t>
  </si>
  <si>
    <t>IOST</t>
  </si>
  <si>
    <t>Particle Network</t>
  </si>
  <si>
    <t>PARTI</t>
  </si>
  <si>
    <t>SKALE</t>
  </si>
  <si>
    <t>SKL</t>
  </si>
  <si>
    <t>ConstitutionDAO</t>
  </si>
  <si>
    <t>PEOPLE</t>
  </si>
  <si>
    <t>Neiro</t>
  </si>
  <si>
    <t>NEIRO</t>
  </si>
  <si>
    <t>Phala Network</t>
  </si>
  <si>
    <t>PHA</t>
  </si>
  <si>
    <t>MiL.k</t>
  </si>
  <si>
    <t>MLK</t>
  </si>
  <si>
    <t>Lisk</t>
  </si>
  <si>
    <t>LSK</t>
  </si>
  <si>
    <t>Cartesi</t>
  </si>
  <si>
    <t>CTSI</t>
  </si>
  <si>
    <t>Sign</t>
  </si>
  <si>
    <t>SIGN</t>
  </si>
  <si>
    <t>QANplatform</t>
  </si>
  <si>
    <t>QANX</t>
  </si>
  <si>
    <t>DOGS</t>
  </si>
  <si>
    <t>Swarm Network</t>
  </si>
  <si>
    <t>TRUTH</t>
  </si>
  <si>
    <t>Shentu</t>
  </si>
  <si>
    <t>CTK</t>
  </si>
  <si>
    <t>SentismAI</t>
  </si>
  <si>
    <t>SENTIS</t>
  </si>
  <si>
    <t>Brevis</t>
  </si>
  <si>
    <t>BREV</t>
  </si>
  <si>
    <t>Global Commercial Business</t>
  </si>
  <si>
    <t>GCB</t>
  </si>
  <si>
    <t>Blast</t>
  </si>
  <si>
    <t>BLAST</t>
  </si>
  <si>
    <t>Public Masterpiece Token</t>
  </si>
  <si>
    <t>PMT</t>
  </si>
  <si>
    <t>DIA</t>
  </si>
  <si>
    <t>Ark of Panda</t>
  </si>
  <si>
    <t>AOP</t>
  </si>
  <si>
    <t>Chromia</t>
  </si>
  <si>
    <t>CHR</t>
  </si>
  <si>
    <t>DORA</t>
  </si>
  <si>
    <t>XSGD</t>
  </si>
  <si>
    <t>Moonriver</t>
  </si>
  <si>
    <t>MOVR</t>
  </si>
  <si>
    <t>Braintrust</t>
  </si>
  <si>
    <t>BTRST</t>
  </si>
  <si>
    <t>OpenEden</t>
  </si>
  <si>
    <t>EDEN</t>
  </si>
  <si>
    <t>USDM</t>
  </si>
  <si>
    <t>Orderly</t>
  </si>
  <si>
    <t>ORDER</t>
  </si>
  <si>
    <t>Based</t>
  </si>
  <si>
    <t>BASED</t>
  </si>
  <si>
    <t>Solend</t>
  </si>
  <si>
    <t>SLND</t>
  </si>
  <si>
    <t>ISLM</t>
  </si>
  <si>
    <t>Acurast</t>
  </si>
  <si>
    <t>ACU</t>
  </si>
  <si>
    <t>Hamster Kombat</t>
  </si>
  <si>
    <t>HMSTR</t>
  </si>
  <si>
    <t>Lumia</t>
  </si>
  <si>
    <t>LUMIA</t>
  </si>
  <si>
    <t>Velodrome Finance</t>
  </si>
  <si>
    <t>VELO</t>
  </si>
  <si>
    <t>HeyElsa</t>
  </si>
  <si>
    <t>ELSA</t>
  </si>
  <si>
    <t>iShares TIPS Bond Tokenized ETF (Ondo)</t>
  </si>
  <si>
    <t>TIPon</t>
  </si>
  <si>
    <t>Origin Protocol</t>
  </si>
  <si>
    <t>OGN</t>
  </si>
  <si>
    <t>FAR Labs</t>
  </si>
  <si>
    <t>FAR</t>
  </si>
  <si>
    <t>Wayfinder</t>
  </si>
  <si>
    <t>PROMPT</t>
  </si>
  <si>
    <t>SmarDex</t>
  </si>
  <si>
    <t>SDEX</t>
  </si>
  <si>
    <t>Wanchain</t>
  </si>
  <si>
    <t>WAN</t>
  </si>
  <si>
    <t>Fluent</t>
  </si>
  <si>
    <t>BLEND</t>
  </si>
  <si>
    <t>MWX Token</t>
  </si>
  <si>
    <t>MWXT</t>
  </si>
  <si>
    <t>Simon's Cat</t>
  </si>
  <si>
    <t>CAT</t>
  </si>
  <si>
    <t>Layer3</t>
  </si>
  <si>
    <t>L3</t>
  </si>
  <si>
    <t>Vulcan Forged (PYR)</t>
  </si>
  <si>
    <t>PYR</t>
  </si>
  <si>
    <t>Fusionist</t>
  </si>
  <si>
    <t>ACE</t>
  </si>
  <si>
    <t>Haedal Protocol</t>
  </si>
  <si>
    <t>HAEDAL</t>
  </si>
  <si>
    <t>Intuition</t>
  </si>
  <si>
    <t>TRUST</t>
  </si>
  <si>
    <t>Mind Network</t>
  </si>
  <si>
    <t>FHE</t>
  </si>
  <si>
    <t>THENA</t>
  </si>
  <si>
    <t>THE</t>
  </si>
  <si>
    <t>Heima</t>
  </si>
  <si>
    <t>HEI</t>
  </si>
  <si>
    <t>Anthropic tokenized stock (PreStocks)</t>
  </si>
  <si>
    <t>ANTHROPIC</t>
  </si>
  <si>
    <t>xU3O8</t>
  </si>
  <si>
    <t>XU3O8</t>
  </si>
  <si>
    <t>TG Casino</t>
  </si>
  <si>
    <t>TGC</t>
  </si>
  <si>
    <t>Purple Bitcoin</t>
  </si>
  <si>
    <t>PBTC</t>
  </si>
  <si>
    <t>Tutorial</t>
  </si>
  <si>
    <t>TUT</t>
  </si>
  <si>
    <t>4</t>
  </si>
  <si>
    <t>Gitcoin</t>
  </si>
  <si>
    <t>GTC</t>
  </si>
  <si>
    <t>Occidental Petroleum Tokenized Stock (Ondo)</t>
  </si>
  <si>
    <t>OXYon</t>
  </si>
  <si>
    <t>FIGHT</t>
  </si>
  <si>
    <t>ORIGYN</t>
  </si>
  <si>
    <t>OGY</t>
  </si>
  <si>
    <t>Save</t>
  </si>
  <si>
    <t>SAVE</t>
  </si>
  <si>
    <t>Grin</t>
  </si>
  <si>
    <t>GRIN</t>
  </si>
  <si>
    <t>Brickken</t>
  </si>
  <si>
    <t>BKN</t>
  </si>
  <si>
    <t>Apu Apustaja</t>
  </si>
  <si>
    <t>APU</t>
  </si>
  <si>
    <t>Bitlayer</t>
  </si>
  <si>
    <t>BTR</t>
  </si>
  <si>
    <t>Resolv</t>
  </si>
  <si>
    <t>RESOLV</t>
  </si>
  <si>
    <t>Niza Global</t>
  </si>
  <si>
    <t>NIZA</t>
  </si>
  <si>
    <t>Heroes of Mavia</t>
  </si>
  <si>
    <t>MAVIA</t>
  </si>
  <si>
    <t>SpaceX tokenized stock (PreStocks)</t>
  </si>
  <si>
    <t>SPACEX</t>
  </si>
  <si>
    <t>Juventus Fan Token</t>
  </si>
  <si>
    <t>JUV</t>
  </si>
  <si>
    <t>Manchester City Fan Token</t>
  </si>
  <si>
    <t>CITY</t>
  </si>
  <si>
    <t>Nobody Sausage</t>
  </si>
  <si>
    <t>NOBODY</t>
  </si>
  <si>
    <t>Upland (SPARKLET)</t>
  </si>
  <si>
    <t>SPARKLET</t>
  </si>
  <si>
    <t>雪球</t>
  </si>
  <si>
    <t>Pkoin</t>
  </si>
  <si>
    <t>PKOIN</t>
  </si>
  <si>
    <t>Nomina</t>
  </si>
  <si>
    <t>NOM</t>
  </si>
  <si>
    <t>StablR USD</t>
  </si>
  <si>
    <t>USDR</t>
  </si>
  <si>
    <t>Hey Anon</t>
  </si>
  <si>
    <t>ANON</t>
  </si>
  <si>
    <t>Eli Lilly Tokenized Stock (Ondo)</t>
  </si>
  <si>
    <t>LLYon</t>
  </si>
  <si>
    <t>MAGIC•INTERNET•MONEY (Bitcoin)</t>
  </si>
  <si>
    <t>MIM</t>
  </si>
  <si>
    <t>StrikeBit AI</t>
  </si>
  <si>
    <t>STRIKE</t>
  </si>
  <si>
    <t>MOBOX</t>
  </si>
  <si>
    <t>MBOX</t>
  </si>
  <si>
    <t>BeatSwap</t>
  </si>
  <si>
    <t>BTX</t>
  </si>
  <si>
    <t>Swell Network</t>
  </si>
  <si>
    <t>SWELL</t>
  </si>
  <si>
    <t>Inflation Hedging Coin</t>
  </si>
  <si>
    <t>IHC</t>
  </si>
  <si>
    <t>PussFi</t>
  </si>
  <si>
    <t>PUSS</t>
  </si>
  <si>
    <t>Manyu (manyushiba.com)</t>
  </si>
  <si>
    <t>MANYU</t>
  </si>
  <si>
    <t>Portal To Bitcoin</t>
  </si>
  <si>
    <t>PTB</t>
  </si>
  <si>
    <t>Arsenal Fan Token</t>
  </si>
  <si>
    <t>AFC</t>
  </si>
  <si>
    <t>Unibright</t>
  </si>
  <si>
    <t>UBT</t>
  </si>
  <si>
    <t>Decentrawood</t>
  </si>
  <si>
    <t>DEOD</t>
  </si>
  <si>
    <t>Zeta</t>
  </si>
  <si>
    <t>ZEX</t>
  </si>
  <si>
    <t>The Arena</t>
  </si>
  <si>
    <t>ARENA</t>
  </si>
  <si>
    <t>Nodle</t>
  </si>
  <si>
    <t>NODL</t>
  </si>
  <si>
    <t>Shido Network</t>
  </si>
  <si>
    <t>SHIDO</t>
  </si>
  <si>
    <t>iShares Core S&amp;P MidCap Tokenized ETF (Ondo)</t>
  </si>
  <si>
    <t>IJHon</t>
  </si>
  <si>
    <t>Orbiter Finance</t>
  </si>
  <si>
    <t>OBT</t>
  </si>
  <si>
    <t>Cross The Ages</t>
  </si>
  <si>
    <t>CTA</t>
  </si>
  <si>
    <t>Dragonchain</t>
  </si>
  <si>
    <t>DRGN</t>
  </si>
  <si>
    <t>Cointel</t>
  </si>
  <si>
    <t>COLS</t>
  </si>
  <si>
    <t>PeiPei (ETH)</t>
  </si>
  <si>
    <t>PEIPEI</t>
  </si>
  <si>
    <t>QuStream</t>
  </si>
  <si>
    <t>QST</t>
  </si>
  <si>
    <t>zkVerify</t>
  </si>
  <si>
    <t>VFY</t>
  </si>
  <si>
    <t>WYDE: End Hunger</t>
  </si>
  <si>
    <t>Foxsy AI</t>
  </si>
  <si>
    <t>FOXSY</t>
  </si>
  <si>
    <t>Adappter Token</t>
  </si>
  <si>
    <t>ADP</t>
  </si>
  <si>
    <t>QuantumCoin</t>
  </si>
  <si>
    <t>Pain (paintoken.com)</t>
  </si>
  <si>
    <t>PAIN</t>
  </si>
  <si>
    <t>DRX Token</t>
  </si>
  <si>
    <t>DRX</t>
  </si>
  <si>
    <t>KiboShib</t>
  </si>
  <si>
    <t>KIBSHI</t>
  </si>
  <si>
    <t>DAOBase</t>
  </si>
  <si>
    <t>BEE</t>
  </si>
  <si>
    <t>PepsiCo Tokenized Stock (Ondo)</t>
  </si>
  <si>
    <t>PEPon</t>
  </si>
  <si>
    <t>Baby Asteroid (Honoring Liv)</t>
  </si>
  <si>
    <t>BABYASTEROID</t>
  </si>
  <si>
    <t>Rarible</t>
  </si>
  <si>
    <t>RARI</t>
  </si>
  <si>
    <t>Visa Tokenized Stock (Ondo)</t>
  </si>
  <si>
    <t>Von</t>
  </si>
  <si>
    <t>MANEKI</t>
  </si>
  <si>
    <t>fanC</t>
  </si>
  <si>
    <t>FANC</t>
  </si>
  <si>
    <t>JW Token</t>
  </si>
  <si>
    <t>JWT</t>
  </si>
  <si>
    <t>Troll (troll.run)</t>
  </si>
  <si>
    <t>TROLL</t>
  </si>
  <si>
    <t>Blackrock, Inc. Tokenized Stock (Ondo)</t>
  </si>
  <si>
    <t>BLKon</t>
  </si>
  <si>
    <t>Equinix Tokenized Stock (Ondo)</t>
  </si>
  <si>
    <t>EQIXon</t>
  </si>
  <si>
    <t>StarSlax</t>
  </si>
  <si>
    <t>SSLX</t>
  </si>
  <si>
    <t>Baidu Tokenized Stock (Ondo)</t>
  </si>
  <si>
    <t>BIDUon</t>
  </si>
  <si>
    <t>Maiga</t>
  </si>
  <si>
    <t>MAIGA</t>
  </si>
  <si>
    <t>SIGMA</t>
  </si>
  <si>
    <t>IMPT</t>
  </si>
  <si>
    <t>Crypton</t>
  </si>
  <si>
    <t>CRP</t>
  </si>
  <si>
    <t>Nibiru</t>
  </si>
  <si>
    <t>NIBI</t>
  </si>
  <si>
    <t>KYVE Network</t>
  </si>
  <si>
    <t>KYVE</t>
  </si>
  <si>
    <t>CUDIS</t>
  </si>
  <si>
    <t>dForce</t>
  </si>
  <si>
    <t>DF</t>
  </si>
  <si>
    <t>Billy (Bitcoin)</t>
  </si>
  <si>
    <t>BILLY</t>
  </si>
  <si>
    <t>Fluence</t>
  </si>
  <si>
    <t>FLT</t>
  </si>
  <si>
    <t>Immunefi</t>
  </si>
  <si>
    <t>IMU</t>
  </si>
  <si>
    <t>Department Of Government Efficiency (dogegov.com)</t>
  </si>
  <si>
    <t>Salesforce Tokenized Stock (Ondo)</t>
  </si>
  <si>
    <t>CRMon</t>
  </si>
  <si>
    <t>iShares MSCI South Korea Tokenized ETF (Ondo)</t>
  </si>
  <si>
    <t>EWYon</t>
  </si>
  <si>
    <t>Creditlink</t>
  </si>
  <si>
    <t>CDL</t>
  </si>
  <si>
    <t>Azit</t>
  </si>
  <si>
    <t>AZIT</t>
  </si>
  <si>
    <t>HashAI</t>
  </si>
  <si>
    <t>HASHAI</t>
  </si>
  <si>
    <t>ADAMANT Messenger</t>
  </si>
  <si>
    <t>ADM</t>
  </si>
  <si>
    <t>Lit Protocol</t>
  </si>
  <si>
    <t>LITKEY</t>
  </si>
  <si>
    <t>Airbnb Tokenized Stock (Ondo)</t>
  </si>
  <si>
    <t>ABNBon</t>
  </si>
  <si>
    <t>ShareToken</t>
  </si>
  <si>
    <t>SHR</t>
  </si>
  <si>
    <t>RocketX exchange</t>
  </si>
  <si>
    <t>RVF</t>
  </si>
  <si>
    <t>STUFF.io</t>
  </si>
  <si>
    <t>STUFF</t>
  </si>
  <si>
    <t>Truth</t>
  </si>
  <si>
    <t>TRUU</t>
  </si>
  <si>
    <t>CaptainBNB</t>
  </si>
  <si>
    <t>Starlink</t>
  </si>
  <si>
    <t>STARL</t>
  </si>
  <si>
    <t>Artrade</t>
  </si>
  <si>
    <t>ATR</t>
  </si>
  <si>
    <t>NuNet</t>
  </si>
  <si>
    <t>NTX</t>
  </si>
  <si>
    <t>UNCX Network</t>
  </si>
  <si>
    <t>UNCX</t>
  </si>
  <si>
    <t>Push Protocol</t>
  </si>
  <si>
    <t>PUSH</t>
  </si>
  <si>
    <t>Strategy Stretch Preferred Tokenized Stock (Ondo)</t>
  </si>
  <si>
    <t>STRCon</t>
  </si>
  <si>
    <t>Coin Names</t>
  </si>
  <si>
    <t>Circulating_Supply($)</t>
  </si>
  <si>
    <t>Coin 2:-</t>
  </si>
  <si>
    <t>VS</t>
  </si>
  <si>
    <t>CRYPTO COIN COMPARISON DASHBOARD</t>
  </si>
  <si>
    <t>Price</t>
  </si>
  <si>
    <t>Volume</t>
  </si>
  <si>
    <t xml:space="preserve"> Coin1:-</t>
  </si>
  <si>
    <t>COMPARISON METRICS</t>
  </si>
  <si>
    <t>Price Category</t>
  </si>
  <si>
    <t>(All)</t>
  </si>
  <si>
    <t>Others</t>
  </si>
  <si>
    <t>Previous Price</t>
  </si>
  <si>
    <t>Price Change</t>
  </si>
  <si>
    <t>Price Range</t>
  </si>
  <si>
    <t>Sum of Price Change</t>
  </si>
  <si>
    <t>TOP 10 CRYPTO PRICE CHANGE ANALYSIS</t>
  </si>
  <si>
    <t>24h Change (%)</t>
  </si>
  <si>
    <t>7d Change (%)</t>
  </si>
  <si>
    <t>BUILDon</t>
  </si>
  <si>
    <t>B</t>
  </si>
  <si>
    <t>SKYAI</t>
  </si>
  <si>
    <t>Usual USD</t>
  </si>
  <si>
    <t>USD0</t>
  </si>
  <si>
    <t>USDai</t>
  </si>
  <si>
    <t>USDAI</t>
  </si>
  <si>
    <t>Unibase</t>
  </si>
  <si>
    <t>UB</t>
  </si>
  <si>
    <t>Linde tokenized stock (xStock)</t>
  </si>
  <si>
    <t>LINX</t>
  </si>
  <si>
    <t>Zama</t>
  </si>
  <si>
    <t>ZAMA</t>
  </si>
  <si>
    <t>Quack AI</t>
  </si>
  <si>
    <t>Lumera Health</t>
  </si>
  <si>
    <t>LUR</t>
  </si>
  <si>
    <t>Light</t>
  </si>
  <si>
    <t>LIGHT</t>
  </si>
  <si>
    <t>UnifAI Network</t>
  </si>
  <si>
    <t>UAI</t>
  </si>
  <si>
    <t>MultiBank Group</t>
  </si>
  <si>
    <t>MBG</t>
  </si>
  <si>
    <t>Yearn</t>
  </si>
  <si>
    <t>YFI</t>
  </si>
  <si>
    <t>Loaded Lions</t>
  </si>
  <si>
    <t>LION</t>
  </si>
  <si>
    <t>Berkshire Hathaway tokenized stock (xStock)</t>
  </si>
  <si>
    <t>BRK.BX</t>
  </si>
  <si>
    <t>Blur</t>
  </si>
  <si>
    <t>BLUR</t>
  </si>
  <si>
    <t>Railgun</t>
  </si>
  <si>
    <t>RAIL</t>
  </si>
  <si>
    <t>XYO</t>
  </si>
  <si>
    <t>Lorenzo Protocol</t>
  </si>
  <si>
    <t>BANK</t>
  </si>
  <si>
    <t>Targon</t>
  </si>
  <si>
    <t>SN4</t>
  </si>
  <si>
    <t>DigiByte</t>
  </si>
  <si>
    <t>DGB</t>
  </si>
  <si>
    <t>Gamestop tokenized stock (xStock)</t>
  </si>
  <si>
    <t>GMEX</t>
  </si>
  <si>
    <t>Seeker</t>
  </si>
  <si>
    <t>SKR</t>
  </si>
  <si>
    <t>Ore</t>
  </si>
  <si>
    <t>ORE</t>
  </si>
  <si>
    <t>Invesco QQQ Tokenized ETF (Ondo)</t>
  </si>
  <si>
    <t>QQQon</t>
  </si>
  <si>
    <t>Manta Network</t>
  </si>
  <si>
    <t>MANTA</t>
  </si>
  <si>
    <t>Non-Playable Coin</t>
  </si>
  <si>
    <t>NPC</t>
  </si>
  <si>
    <t>ApeX Protocol</t>
  </si>
  <si>
    <t>APEX</t>
  </si>
  <si>
    <t>Casper</t>
  </si>
  <si>
    <t>CSPR</t>
  </si>
  <si>
    <t>Yooldo</t>
  </si>
  <si>
    <t>ESPORTS</t>
  </si>
  <si>
    <t>Status</t>
  </si>
  <si>
    <t>SNT</t>
  </si>
  <si>
    <t>Liquity USD</t>
  </si>
  <si>
    <t>LUSD</t>
  </si>
  <si>
    <t>Salesforce tokenized stock (xStock)</t>
  </si>
  <si>
    <t>CRMX</t>
  </si>
  <si>
    <t>Uquid Coin</t>
  </si>
  <si>
    <t>UQC</t>
  </si>
  <si>
    <t>SLIMEX</t>
  </si>
  <si>
    <t>SLX</t>
  </si>
  <si>
    <t>Abbott tokenized stock (xStock)</t>
  </si>
  <si>
    <t>ABTX</t>
  </si>
  <si>
    <t>Frax (prev. FXS)</t>
  </si>
  <si>
    <t>Somnia</t>
  </si>
  <si>
    <t>SOMI</t>
  </si>
  <si>
    <t>DeBox</t>
  </si>
  <si>
    <t>BOX</t>
  </si>
  <si>
    <t>Anoma</t>
  </si>
  <si>
    <t>XAN</t>
  </si>
  <si>
    <t>Commonwealth</t>
  </si>
  <si>
    <t>CWU</t>
  </si>
  <si>
    <t>Aergo</t>
  </si>
  <si>
    <t>AERGO</t>
  </si>
  <si>
    <t>ArcBlock</t>
  </si>
  <si>
    <t>ABT</t>
  </si>
  <si>
    <t>XYM</t>
  </si>
  <si>
    <t>τemplar</t>
  </si>
  <si>
    <t>SN3</t>
  </si>
  <si>
    <t>SaucerSwap</t>
  </si>
  <si>
    <t>SAUCE</t>
  </si>
  <si>
    <t>FLock.io</t>
  </si>
  <si>
    <t>FLOCK</t>
  </si>
  <si>
    <t>Titan's Tap</t>
  </si>
  <si>
    <t>TIT</t>
  </si>
  <si>
    <t>Fulcrom Finance</t>
  </si>
  <si>
    <t>FUL</t>
  </si>
  <si>
    <t>DODO</t>
  </si>
  <si>
    <t>Bitgo Tokenised Stock (xStock)</t>
  </si>
  <si>
    <t>BTGOx</t>
  </si>
  <si>
    <t>GUNZ</t>
  </si>
  <si>
    <t>GUN</t>
  </si>
  <si>
    <t>Caldera</t>
  </si>
  <si>
    <t>ERA</t>
  </si>
  <si>
    <t>Boundless</t>
  </si>
  <si>
    <t>ZKC</t>
  </si>
  <si>
    <t>StakeStone</t>
  </si>
  <si>
    <t>STO</t>
  </si>
  <si>
    <t>Alpha Quark Token</t>
  </si>
  <si>
    <t>AQT</t>
  </si>
  <si>
    <t>Bitcoin Diamond</t>
  </si>
  <si>
    <t>BCD</t>
  </si>
  <si>
    <t>GeorgePlaysClashRoyale</t>
  </si>
  <si>
    <t>CLASH</t>
  </si>
  <si>
    <t>Ready Cards</t>
  </si>
  <si>
    <t>READY</t>
  </si>
  <si>
    <t>CZ's Dog</t>
  </si>
  <si>
    <t>BROCCOLI</t>
  </si>
  <si>
    <t>MicroStrategy Tokenized Stock (Ondo)</t>
  </si>
  <si>
    <t>MSTRon</t>
  </si>
  <si>
    <t>Microsoft Tokenized Stock (Ondo)</t>
  </si>
  <si>
    <t>MSFTon</t>
  </si>
  <si>
    <t>Taiwan Semiconductor Manufacturing Tokenized Stock (Ondo)</t>
  </si>
  <si>
    <t>TSMon</t>
  </si>
  <si>
    <t>NetX</t>
  </si>
  <si>
    <t>NETX</t>
  </si>
  <si>
    <t>Dymension</t>
  </si>
  <si>
    <t>DYM</t>
  </si>
  <si>
    <t>Orchid</t>
  </si>
  <si>
    <t>OXT</t>
  </si>
  <si>
    <t>Vanar Chain</t>
  </si>
  <si>
    <t>VANRY</t>
  </si>
  <si>
    <t>Hegic</t>
  </si>
  <si>
    <t>HEGIC</t>
  </si>
  <si>
    <t>Bubblemaps</t>
  </si>
  <si>
    <t>BMT</t>
  </si>
  <si>
    <t>OWB</t>
  </si>
  <si>
    <t>heyAura</t>
  </si>
  <si>
    <t>ADX</t>
  </si>
  <si>
    <t>Hashflow</t>
  </si>
  <si>
    <t>HFT</t>
  </si>
  <si>
    <t>Toko Token</t>
  </si>
  <si>
    <t>TKO</t>
  </si>
  <si>
    <t>CREPE</t>
  </si>
  <si>
    <t>PepeCoin</t>
  </si>
  <si>
    <t>PEPECOIN</t>
  </si>
  <si>
    <t>Resistance Dog</t>
  </si>
  <si>
    <t>REDO</t>
  </si>
  <si>
    <t>CONX</t>
  </si>
  <si>
    <t>XPLA</t>
  </si>
  <si>
    <t>QuickSwap [Old]</t>
  </si>
  <si>
    <t>QUICK</t>
  </si>
  <si>
    <t>LOAN Protocol</t>
  </si>
  <si>
    <t>LOAN</t>
  </si>
  <si>
    <t>Zircuit</t>
  </si>
  <si>
    <t>ZRC</t>
  </si>
  <si>
    <t>EVAA Protocol</t>
  </si>
  <si>
    <t>EVAA</t>
  </si>
  <si>
    <t>RSS3</t>
  </si>
  <si>
    <t>Scroll</t>
  </si>
  <si>
    <t>SCR</t>
  </si>
  <si>
    <t>Destra Network</t>
  </si>
  <si>
    <t>DSYNC</t>
  </si>
  <si>
    <t>World3</t>
  </si>
  <si>
    <t>WAI</t>
  </si>
  <si>
    <t>Kryll</t>
  </si>
  <si>
    <t>KRL</t>
  </si>
  <si>
    <t>ProShares UltraPro QQQ Tokenized Stock (Ondo)</t>
  </si>
  <si>
    <t>TQQQon</t>
  </si>
  <si>
    <t>Galeon</t>
  </si>
  <si>
    <t>GALEON</t>
  </si>
  <si>
    <t>Wexo</t>
  </si>
  <si>
    <t>WEXO</t>
  </si>
  <si>
    <t>iShares Russell 2000 Value Tokenized ETF (Ondo)</t>
  </si>
  <si>
    <t>IWNon</t>
  </si>
  <si>
    <t>DaGama World</t>
  </si>
  <si>
    <t>DGMA</t>
  </si>
  <si>
    <t>Enzyme</t>
  </si>
  <si>
    <t>MLN</t>
  </si>
  <si>
    <t>EarthMeta</t>
  </si>
  <si>
    <t>EMT</t>
  </si>
  <si>
    <t>Telos</t>
  </si>
  <si>
    <t>TLOS</t>
  </si>
  <si>
    <t>Ika</t>
  </si>
  <si>
    <t>IKA</t>
  </si>
  <si>
    <t>ANDY (ETH)</t>
  </si>
  <si>
    <t>ANDY</t>
  </si>
  <si>
    <t>AVA</t>
  </si>
  <si>
    <t>PlatON</t>
  </si>
  <si>
    <t>LAT</t>
  </si>
  <si>
    <t>Portugal National Team Fan Token</t>
  </si>
  <si>
    <t>POR</t>
  </si>
  <si>
    <t>PRIZM</t>
  </si>
  <si>
    <t>PZM</t>
  </si>
  <si>
    <t>Lockheed Tokenized Stock (Ondo)</t>
  </si>
  <si>
    <t>LMTon</t>
  </si>
  <si>
    <t>SyncGPT</t>
  </si>
  <si>
    <t>SYNC</t>
  </si>
  <si>
    <t>Altura</t>
  </si>
  <si>
    <t>ALU</t>
  </si>
  <si>
    <t>Steem Dollars</t>
  </si>
  <si>
    <t>SBD</t>
  </si>
  <si>
    <t>World of Dypians</t>
  </si>
  <si>
    <t>WOD</t>
  </si>
  <si>
    <t>VitaDAO</t>
  </si>
  <si>
    <t>VITA</t>
  </si>
  <si>
    <t>Solana Name Service</t>
  </si>
  <si>
    <t>SNS</t>
  </si>
  <si>
    <t>Nakamoto Games</t>
  </si>
  <si>
    <t>NAKA</t>
  </si>
  <si>
    <t>Aleph Cloud</t>
  </si>
  <si>
    <t>ALEPH</t>
  </si>
  <si>
    <t>Mumu the Bull (SOL)</t>
  </si>
  <si>
    <t>MUMU</t>
  </si>
  <si>
    <t>Cisco Systems Tokenized Stock (Ondo)</t>
  </si>
  <si>
    <t>CSCOon</t>
  </si>
  <si>
    <t>Epic Private Internet Cash</t>
  </si>
  <si>
    <t>EPIC</t>
  </si>
  <si>
    <t>Ren</t>
  </si>
  <si>
    <t>REN</t>
  </si>
  <si>
    <t>Devve</t>
  </si>
  <si>
    <t>DEVVE</t>
  </si>
  <si>
    <t>Depinsim</t>
  </si>
  <si>
    <t>ESIM</t>
  </si>
  <si>
    <t>KARRAT</t>
  </si>
  <si>
    <t>Fautor</t>
  </si>
  <si>
    <t>FTR</t>
  </si>
  <si>
    <t>Cook Finance</t>
  </si>
  <si>
    <t>COOK</t>
  </si>
  <si>
    <t>Novo Nordisk Tokenized Stock (Ondo)</t>
  </si>
  <si>
    <t>NVOon</t>
  </si>
  <si>
    <t>Beam</t>
  </si>
  <si>
    <t>BEAM</t>
  </si>
  <si>
    <t>Walmart Tokenized Stock (Ondo)</t>
  </si>
  <si>
    <t>WMTon</t>
  </si>
  <si>
    <t>AGENDA 47</t>
  </si>
  <si>
    <t>A47</t>
  </si>
  <si>
    <t>Validity</t>
  </si>
  <si>
    <t>VAL</t>
  </si>
  <si>
    <t>BRN Metaverse</t>
  </si>
  <si>
    <t>BRN</t>
  </si>
  <si>
    <t>Nietzschean Penguin</t>
  </si>
  <si>
    <t>PENGUIN</t>
  </si>
  <si>
    <t>BabyShark</t>
  </si>
  <si>
    <t>BABYSHARK</t>
  </si>
  <si>
    <t>Metahero</t>
  </si>
  <si>
    <t>HERO</t>
  </si>
  <si>
    <t>Reef</t>
  </si>
  <si>
    <t>REEF</t>
  </si>
  <si>
    <t>CreatorBid</t>
  </si>
  <si>
    <t>BID</t>
  </si>
  <si>
    <t>IDEX</t>
  </si>
  <si>
    <t>RICE AI</t>
  </si>
  <si>
    <t>RICE</t>
  </si>
  <si>
    <t>Reservoir</t>
  </si>
  <si>
    <t>DAM</t>
  </si>
  <si>
    <t>Paparazzi Token</t>
  </si>
  <si>
    <t>PAPARAZZI</t>
  </si>
  <si>
    <t>sudeng</t>
  </si>
  <si>
    <t>HIPPO</t>
  </si>
  <si>
    <t>Dero</t>
  </si>
  <si>
    <t>DERO</t>
  </si>
  <si>
    <t>Mayflower AI</t>
  </si>
  <si>
    <t>MAY</t>
  </si>
  <si>
    <t>Toyota Tokenized Stock (Ondo)</t>
  </si>
  <si>
    <t>TMon</t>
  </si>
  <si>
    <t>Basenji</t>
  </si>
  <si>
    <t>BENJI</t>
  </si>
  <si>
    <t>Kwenta</t>
  </si>
  <si>
    <t>KWENTA</t>
  </si>
  <si>
    <t>IREN Tokenized Stock (Ondo)</t>
  </si>
  <si>
    <t>IRENon</t>
  </si>
  <si>
    <t>Block (blockstreet.xyz)</t>
  </si>
  <si>
    <t>BLOCK</t>
  </si>
  <si>
    <t>Altcoinist</t>
  </si>
  <si>
    <t>ALTT</t>
  </si>
  <si>
    <t>Jesus Coin</t>
  </si>
  <si>
    <t>JESUS</t>
  </si>
  <si>
    <t>Acet</t>
  </si>
  <si>
    <t>ACT</t>
  </si>
  <si>
    <t>Coherent Tokenized Stock (Ondo)</t>
  </si>
  <si>
    <t>COHRon</t>
  </si>
  <si>
    <t>DeepBrain Chain</t>
  </si>
  <si>
    <t>DBC</t>
  </si>
  <si>
    <t>CoreWeave Tokenized Stock (Ondo)</t>
  </si>
  <si>
    <t>CRWVon</t>
  </si>
  <si>
    <t>Swash</t>
  </si>
  <si>
    <t>SWASH</t>
  </si>
  <si>
    <t>DOPU The Dog with A Purpose</t>
  </si>
  <si>
    <t>DOPU</t>
  </si>
  <si>
    <t>GT Protocol</t>
  </si>
  <si>
    <t>GTAI</t>
  </si>
  <si>
    <t>Hachiko Inu</t>
  </si>
  <si>
    <t>HACHIKO</t>
  </si>
  <si>
    <t>Ai Xovia</t>
  </si>
  <si>
    <t>AIX</t>
  </si>
  <si>
    <t>XL1</t>
  </si>
  <si>
    <t>Adobe Tokenized Stock (Ondo)</t>
  </si>
  <si>
    <t>ADBEon</t>
  </si>
  <si>
    <t>NodeOps</t>
  </si>
  <si>
    <t>NODE</t>
  </si>
  <si>
    <t>GMCoin</t>
  </si>
  <si>
    <t>GMCOIN</t>
  </si>
  <si>
    <t>Costco Tokenized Stock (Ondo)</t>
  </si>
  <si>
    <t>COSTon</t>
  </si>
  <si>
    <t>Wells Fargo Tokenized Stock (Ondo)</t>
  </si>
  <si>
    <t>WFCon</t>
  </si>
  <si>
    <t>XDAG</t>
  </si>
  <si>
    <t>Banxchange</t>
  </si>
  <si>
    <t>BXE</t>
  </si>
  <si>
    <t>Samoyedcoin</t>
  </si>
  <si>
    <t>SAMO</t>
  </si>
  <si>
    <t>AllUnity EUR</t>
  </si>
  <si>
    <t>EURAU</t>
  </si>
  <si>
    <t>OpenGPU</t>
  </si>
  <si>
    <t>OGPU</t>
  </si>
  <si>
    <t>SALT</t>
  </si>
  <si>
    <t>Obol</t>
  </si>
  <si>
    <t>OBOL</t>
  </si>
  <si>
    <t>toyow</t>
  </si>
  <si>
    <t>TTN</t>
  </si>
  <si>
    <t>Areum</t>
  </si>
  <si>
    <t>AREA</t>
  </si>
  <si>
    <t>DFI.Money</t>
  </si>
  <si>
    <t>YFII</t>
  </si>
  <si>
    <t>Pwease</t>
  </si>
  <si>
    <t>PWEASE</t>
  </si>
  <si>
    <t>KiloEx</t>
  </si>
  <si>
    <t>KILO</t>
  </si>
  <si>
    <t>Graphlinq Chain</t>
  </si>
  <si>
    <t>GLQ</t>
  </si>
  <si>
    <t>AST SpaceMobile Tokenized Stock (Ondo)</t>
  </si>
  <si>
    <t>ASTSon</t>
  </si>
  <si>
    <t>Moon Tropica</t>
  </si>
  <si>
    <t>CAH</t>
  </si>
  <si>
    <t>Swarm Markets</t>
  </si>
  <si>
    <t>SMT</t>
  </si>
  <si>
    <t>币安Holder</t>
  </si>
  <si>
    <t>BNBHOLDER</t>
  </si>
  <si>
    <t>HyperCycle</t>
  </si>
  <si>
    <t>HYPC</t>
  </si>
  <si>
    <t>VK Token</t>
  </si>
  <si>
    <t>VK</t>
  </si>
  <si>
    <t>X-PASS</t>
  </si>
  <si>
    <t>XPASS</t>
  </si>
  <si>
    <t>Rocket Lab Tokenized Stock (Ondo)</t>
  </si>
  <si>
    <t>RKLBon</t>
  </si>
  <si>
    <t>24h Price</t>
  </si>
  <si>
    <t>7d Price</t>
  </si>
  <si>
    <t>Price Filter</t>
  </si>
  <si>
    <t>Sum of 1h Change (%)</t>
  </si>
  <si>
    <t>Sum of 7d Price</t>
  </si>
  <si>
    <t>Sum of 24h Price</t>
  </si>
  <si>
    <t>Historical Price Change Insights</t>
  </si>
  <si>
    <t>Top 10 Coins by 1h Change ($0–$5 Range)</t>
  </si>
  <si>
    <t>Average Downfall %</t>
  </si>
  <si>
    <t>Average of Average Downfall %</t>
  </si>
  <si>
    <t>LOW BUDGET INVESTMENT INSIGHTS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</si>
</sst>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 #,##0.00_ ;_ * \-#,##0.00_ ;_ * &quot;-&quot;??_ ;_ @_ "/>
    <numFmt numFmtId="164" formatCode="_-[$$-409]* #,##0.00_ ;_-[$$-409]* \-#,##0.00\ ;_-[$$-409]* &quot;-&quot;??_ ;_-@_ "/>
    <numFmt numFmtId="165" formatCode="_ * #,##0_ ;_ * \-#,##0_ ;_ * &quot;-&quot;??_ ;_ @_ "/>
    <numFmt numFmtId="166" formatCode="0.000000"/>
    <numFmt numFmtId="167" formatCode="_-[$$-409]* #,##0.0000_ ;_-[$$-409]* \-#,##0.0000\ ;_-[$$-409]* &quot;-&quot;??_ ;_-@_ "/>
    <numFmt numFmtId="168" formatCode="0.0000%"/>
  </numFmts>
  <fonts count="25" x14ac:knownFonts="1">
    <font>
      <sz val="11"/>
      <color theme="1"/>
      <name val="Calibri"/>
      <family val="2"/>
      <scheme val="minor"/>
    </font>
    <font>
      <b/>
      <sz val="11"/>
      <color theme="1"/>
      <name val="Calibri"/>
      <family val="2"/>
      <scheme val="minor"/>
    </font>
    <font>
      <sz val="16"/>
      <color theme="1"/>
      <name val="Calibri"/>
      <family val="2"/>
      <scheme val="minor"/>
    </font>
    <font>
      <b/>
      <sz val="24"/>
      <color theme="4"/>
      <name val="Calibri"/>
      <family val="2"/>
      <scheme val="minor"/>
    </font>
    <font>
      <b/>
      <sz val="28"/>
      <color theme="1"/>
      <name val="Calibri"/>
      <family val="2"/>
      <scheme val="minor"/>
    </font>
    <font>
      <b/>
      <sz val="35"/>
      <color theme="4"/>
      <name val="Calibri"/>
      <family val="2"/>
      <scheme val="minor"/>
    </font>
    <font>
      <b/>
      <sz val="45"/>
      <color theme="4"/>
      <name val="Calibri"/>
      <family val="2"/>
      <scheme val="minor"/>
    </font>
    <font>
      <sz val="8"/>
      <name val="Calibri"/>
      <family val="2"/>
      <scheme val="minor"/>
    </font>
    <font>
      <b/>
      <sz val="24"/>
      <color theme="4" tint="-0.249977111117893"/>
      <name val="Calibri"/>
      <family val="2"/>
      <scheme val="minor"/>
    </font>
    <font>
      <sz val="11"/>
      <color theme="1"/>
      <name val="Calibri"/>
      <family val="2"/>
      <scheme val="minor"/>
    </font>
    <font>
      <b/>
      <sz val="11"/>
      <color theme="0"/>
      <name val="Calibri"/>
      <family val="2"/>
      <scheme val="minor"/>
    </font>
    <font>
      <b/>
      <sz val="20"/>
      <color theme="1"/>
      <name val="Calibri"/>
      <family val="2"/>
      <scheme val="minor"/>
    </font>
    <font>
      <sz val="22"/>
      <color theme="1"/>
      <name val="Calibri"/>
      <family val="2"/>
      <scheme val="minor"/>
    </font>
    <font>
      <sz val="26"/>
      <color theme="1"/>
      <name val="Calibri"/>
      <family val="2"/>
      <scheme val="minor"/>
    </font>
    <font>
      <b/>
      <sz val="26"/>
      <color theme="1"/>
      <name val="Calibri"/>
      <family val="2"/>
      <scheme val="minor"/>
    </font>
    <font>
      <b/>
      <sz val="72"/>
      <color theme="1"/>
      <name val="Calibri"/>
      <family val="2"/>
      <scheme val="minor"/>
    </font>
    <font>
      <b/>
      <sz val="72"/>
      <name val="Calibri"/>
      <family val="2"/>
      <scheme val="minor"/>
    </font>
    <font>
      <b/>
      <sz val="67"/>
      <color theme="1"/>
      <name val="Calibri"/>
      <family val="2"/>
      <scheme val="minor"/>
    </font>
    <font>
      <b/>
      <u/>
      <sz val="31"/>
      <color theme="1"/>
      <name val="Calibri"/>
      <family val="2"/>
      <scheme val="minor"/>
    </font>
    <font>
      <b/>
      <sz val="23.5"/>
      <color theme="1"/>
      <name val="Calibri"/>
      <family val="2"/>
      <scheme val="minor"/>
    </font>
    <font>
      <b/>
      <u/>
      <sz val="42"/>
      <color theme="1"/>
      <name val="Calibri"/>
      <family val="2"/>
      <scheme val="minor"/>
    </font>
    <font>
      <sz val="12"/>
      <color theme="1"/>
      <name val="Calibri"/>
      <family val="2"/>
      <scheme val="minor"/>
    </font>
    <font>
      <b/>
      <u/>
      <sz val="62.5"/>
      <color theme="4" tint="-0.249977111117893"/>
      <name val="Calibri"/>
      <family val="2"/>
      <scheme val="minor"/>
    </font>
    <font>
      <b/>
      <sz val="34"/>
      <color theme="1"/>
      <name val="Calibri"/>
      <family val="2"/>
      <scheme val="minor"/>
    </font>
    <font>
      <b/>
      <u/>
      <sz val="130"/>
      <color theme="1"/>
      <name val="Calibri"/>
      <family val="2"/>
      <scheme val="minor"/>
    </font>
  </fonts>
  <fills count="15">
    <fill>
      <patternFill patternType="none"/>
    </fill>
    <fill>
      <patternFill patternType="gray125"/>
    </fill>
    <fill>
      <patternFill patternType="solid">
        <fgColor theme="4" tint="0.79998168889431442"/>
        <bgColor theme="4" tint="0.79998168889431442"/>
      </patternFill>
    </fill>
    <fill>
      <patternFill patternType="solid">
        <fgColor theme="0"/>
        <bgColor theme="4" tint="0.79998168889431442"/>
      </patternFill>
    </fill>
    <fill>
      <patternFill patternType="solid">
        <fgColor theme="0"/>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5" tint="0.59999389629810485"/>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7" tint="0.39997558519241921"/>
        <bgColor indexed="64"/>
      </patternFill>
    </fill>
  </fills>
  <borders count="63">
    <border>
      <left/>
      <right/>
      <top/>
      <bottom/>
      <diagonal/>
    </border>
    <border>
      <left/>
      <right/>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Dashed">
        <color auto="1"/>
      </top>
      <bottom/>
      <diagonal/>
    </border>
    <border>
      <left/>
      <right style="medium">
        <color auto="1"/>
      </right>
      <top style="mediumDashed">
        <color auto="1"/>
      </top>
      <bottom/>
      <diagonal/>
    </border>
    <border>
      <left style="medium">
        <color auto="1"/>
      </left>
      <right style="medium">
        <color auto="1"/>
      </right>
      <top style="mediumDashed">
        <color auto="1"/>
      </top>
      <bottom/>
      <diagonal/>
    </border>
    <border>
      <left style="medium">
        <color auto="1"/>
      </left>
      <right/>
      <top style="mediumDashed">
        <color auto="1"/>
      </top>
      <bottom/>
      <diagonal/>
    </border>
    <border>
      <left/>
      <right/>
      <top/>
      <bottom style="mediumDashed">
        <color auto="1"/>
      </bottom>
      <diagonal/>
    </border>
    <border>
      <left/>
      <right style="medium">
        <color auto="1"/>
      </right>
      <top/>
      <bottom style="mediumDashed">
        <color auto="1"/>
      </bottom>
      <diagonal/>
    </border>
    <border>
      <left style="medium">
        <color auto="1"/>
      </left>
      <right style="medium">
        <color auto="1"/>
      </right>
      <top/>
      <bottom style="mediumDashed">
        <color auto="1"/>
      </bottom>
      <diagonal/>
    </border>
    <border>
      <left style="medium">
        <color auto="1"/>
      </left>
      <right/>
      <top/>
      <bottom style="mediumDashed">
        <color auto="1"/>
      </bottom>
      <diagonal/>
    </border>
    <border>
      <left style="medium">
        <color indexed="64"/>
      </left>
      <right/>
      <top style="mediumDashed">
        <color indexed="64"/>
      </top>
      <bottom style="mediumDashed">
        <color indexed="64"/>
      </bottom>
      <diagonal/>
    </border>
    <border>
      <left/>
      <right/>
      <top style="mediumDashed">
        <color indexed="64"/>
      </top>
      <bottom style="mediumDashed">
        <color indexed="64"/>
      </bottom>
      <diagonal/>
    </border>
    <border>
      <left/>
      <right style="medium">
        <color indexed="64"/>
      </right>
      <top style="mediumDashed">
        <color indexed="64"/>
      </top>
      <bottom style="mediumDashed">
        <color indexed="64"/>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Dashed">
        <color auto="1"/>
      </left>
      <right/>
      <top style="mediumDashed">
        <color auto="1"/>
      </top>
      <bottom/>
      <diagonal/>
    </border>
    <border>
      <left/>
      <right style="mediumDashed">
        <color auto="1"/>
      </right>
      <top style="mediumDashed">
        <color auto="1"/>
      </top>
      <bottom/>
      <diagonal/>
    </border>
    <border>
      <left style="mediumDashed">
        <color auto="1"/>
      </left>
      <right/>
      <top/>
      <bottom/>
      <diagonal/>
    </border>
    <border>
      <left/>
      <right style="mediumDashed">
        <color auto="1"/>
      </right>
      <top/>
      <bottom/>
      <diagonal/>
    </border>
    <border>
      <left style="mediumDashed">
        <color indexed="64"/>
      </left>
      <right/>
      <top/>
      <bottom style="medium">
        <color indexed="64"/>
      </bottom>
      <diagonal/>
    </border>
    <border>
      <left/>
      <right/>
      <top/>
      <bottom style="medium">
        <color indexed="64"/>
      </bottom>
      <diagonal/>
    </border>
    <border>
      <left/>
      <right style="mediumDashed">
        <color indexed="64"/>
      </right>
      <top/>
      <bottom style="medium">
        <color indexed="64"/>
      </bottom>
      <diagonal/>
    </border>
    <border>
      <left style="mediumDashed">
        <color indexed="64"/>
      </left>
      <right/>
      <top style="medium">
        <color indexed="64"/>
      </top>
      <bottom style="mediumDashed">
        <color auto="1"/>
      </bottom>
      <diagonal/>
    </border>
    <border>
      <left/>
      <right/>
      <top style="medium">
        <color indexed="64"/>
      </top>
      <bottom style="mediumDashed">
        <color auto="1"/>
      </bottom>
      <diagonal/>
    </border>
    <border>
      <left/>
      <right style="mediumDashed">
        <color indexed="64"/>
      </right>
      <top style="medium">
        <color indexed="64"/>
      </top>
      <bottom style="mediumDashed">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double">
        <color auto="1"/>
      </left>
      <right/>
      <top/>
      <bottom/>
      <diagonal/>
    </border>
    <border>
      <left/>
      <right style="double">
        <color auto="1"/>
      </right>
      <top/>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double">
        <color auto="1"/>
      </left>
      <right style="double">
        <color auto="1"/>
      </right>
      <top style="thick">
        <color auto="1"/>
      </top>
      <bottom style="thick">
        <color auto="1"/>
      </bottom>
      <diagonal/>
    </border>
    <border>
      <left/>
      <right/>
      <top style="thick">
        <color auto="1"/>
      </top>
      <bottom style="thick">
        <color auto="1"/>
      </bottom>
      <diagonal/>
    </border>
    <border>
      <left style="thick">
        <color indexed="64"/>
      </left>
      <right style="thick">
        <color indexed="64"/>
      </right>
      <top style="thick">
        <color indexed="64"/>
      </top>
      <bottom style="thick">
        <color indexed="64"/>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ck">
        <color auto="1"/>
      </left>
      <right style="thick">
        <color auto="1"/>
      </right>
      <top style="thick">
        <color auto="1"/>
      </top>
      <bottom style="mediumDashDot">
        <color auto="1"/>
      </bottom>
      <diagonal/>
    </border>
    <border>
      <left style="thick">
        <color auto="1"/>
      </left>
      <right style="thick">
        <color auto="1"/>
      </right>
      <top style="mediumDashDot">
        <color auto="1"/>
      </top>
      <bottom style="mediumDashDot">
        <color auto="1"/>
      </bottom>
      <diagonal/>
    </border>
    <border>
      <left style="thick">
        <color auto="1"/>
      </left>
      <right style="thick">
        <color auto="1"/>
      </right>
      <top style="mediumDashDot">
        <color auto="1"/>
      </top>
      <bottom style="thick">
        <color auto="1"/>
      </bottom>
      <diagonal/>
    </border>
  </borders>
  <cellStyleXfs count="2">
    <xf numFmtId="0" fontId="0" fillId="0" borderId="0"/>
    <xf numFmtId="43" fontId="9" fillId="0" borderId="0" applyFont="0" applyFill="0" applyBorder="0" applyAlignment="0" applyProtection="0"/>
  </cellStyleXfs>
  <cellXfs count="160">
    <xf numFmtId="0" fontId="0" fillId="0" borderId="0" xfId="0"/>
    <xf numFmtId="0" fontId="0" fillId="0" borderId="0" xfId="0" pivotButton="1"/>
    <xf numFmtId="0" fontId="0" fillId="0" borderId="0" xfId="0" applyAlignment="1">
      <alignment horizontal="left"/>
    </xf>
    <xf numFmtId="0" fontId="1" fillId="2" borderId="1" xfId="0" applyFont="1" applyFill="1" applyBorder="1"/>
    <xf numFmtId="0" fontId="1" fillId="3" borderId="0" xfId="0" applyFont="1" applyFill="1"/>
    <xf numFmtId="0" fontId="2" fillId="0" borderId="0" xfId="0" applyFont="1"/>
    <xf numFmtId="0" fontId="0" fillId="0" borderId="0" xfId="0" applyAlignment="1">
      <alignment vertical="center"/>
    </xf>
    <xf numFmtId="0" fontId="3" fillId="0" borderId="0" xfId="0" applyFont="1" applyAlignment="1">
      <alignment vertical="center"/>
    </xf>
    <xf numFmtId="0" fontId="1" fillId="2" borderId="1" xfId="0" applyFont="1" applyFill="1" applyBorder="1" applyAlignment="1">
      <alignment vertical="center"/>
    </xf>
    <xf numFmtId="0" fontId="2" fillId="0" borderId="0" xfId="0" pivotButton="1" applyFont="1"/>
    <xf numFmtId="0" fontId="2" fillId="0" borderId="0" xfId="0" applyFont="1" applyAlignment="1">
      <alignment horizontal="left"/>
    </xf>
    <xf numFmtId="0" fontId="10" fillId="5" borderId="8" xfId="0" applyFont="1" applyFill="1" applyBorder="1"/>
    <xf numFmtId="0" fontId="10" fillId="5" borderId="9" xfId="0" applyFont="1" applyFill="1" applyBorder="1"/>
    <xf numFmtId="0" fontId="0" fillId="6" borderId="9" xfId="0" applyFill="1" applyBorder="1"/>
    <xf numFmtId="0" fontId="0" fillId="0" borderId="9" xfId="0" applyBorder="1"/>
    <xf numFmtId="0" fontId="0" fillId="7" borderId="0" xfId="0" applyFill="1"/>
    <xf numFmtId="0" fontId="14" fillId="7" borderId="10" xfId="0" applyFont="1" applyFill="1" applyBorder="1" applyAlignment="1">
      <alignment horizontal="center" vertical="center"/>
    </xf>
    <xf numFmtId="0" fontId="14" fillId="7" borderId="16" xfId="0" applyFont="1" applyFill="1" applyBorder="1" applyAlignment="1">
      <alignment horizontal="center" vertical="center"/>
    </xf>
    <xf numFmtId="0" fontId="14" fillId="7" borderId="25" xfId="0" applyFont="1" applyFill="1" applyBorder="1" applyAlignment="1">
      <alignment horizontal="center" vertical="center"/>
    </xf>
    <xf numFmtId="0" fontId="14" fillId="7" borderId="26" xfId="0" applyFont="1" applyFill="1" applyBorder="1" applyAlignment="1">
      <alignment horizontal="center" vertical="center"/>
    </xf>
    <xf numFmtId="0" fontId="14" fillId="7" borderId="20" xfId="0" applyFont="1" applyFill="1" applyBorder="1" applyAlignment="1">
      <alignment horizontal="center" vertical="center"/>
    </xf>
    <xf numFmtId="0" fontId="0" fillId="8" borderId="0" xfId="0" applyFill="1"/>
    <xf numFmtId="0" fontId="0" fillId="8" borderId="23" xfId="0" applyFill="1" applyBorder="1"/>
    <xf numFmtId="0" fontId="0" fillId="8" borderId="24" xfId="0" applyFill="1" applyBorder="1"/>
    <xf numFmtId="0" fontId="14" fillId="8" borderId="0" xfId="0" applyFont="1" applyFill="1" applyAlignment="1">
      <alignment horizontal="center" vertical="center"/>
    </xf>
    <xf numFmtId="0" fontId="12" fillId="8" borderId="0" xfId="0" applyFont="1" applyFill="1" applyAlignment="1">
      <alignment horizontal="center" vertical="center"/>
    </xf>
    <xf numFmtId="0" fontId="14" fillId="8" borderId="18" xfId="0" applyFont="1" applyFill="1" applyBorder="1" applyAlignment="1">
      <alignment horizontal="center" vertical="center"/>
    </xf>
    <xf numFmtId="0" fontId="14" fillId="8" borderId="16" xfId="0" applyFont="1" applyFill="1" applyBorder="1" applyAlignment="1">
      <alignment horizontal="center" vertical="center"/>
    </xf>
    <xf numFmtId="0" fontId="14" fillId="8" borderId="14" xfId="0" applyFont="1" applyFill="1" applyBorder="1" applyAlignment="1">
      <alignment horizontal="center" vertical="center"/>
    </xf>
    <xf numFmtId="164" fontId="14" fillId="8" borderId="10" xfId="0" applyNumberFormat="1" applyFont="1" applyFill="1" applyBorder="1" applyAlignment="1">
      <alignment horizontal="center" vertical="center"/>
    </xf>
    <xf numFmtId="0" fontId="14" fillId="8" borderId="0" xfId="0" applyFont="1" applyFill="1" applyAlignment="1">
      <alignment horizontal="center"/>
    </xf>
    <xf numFmtId="0" fontId="1" fillId="8" borderId="0" xfId="0" applyFont="1" applyFill="1" applyAlignment="1">
      <alignment horizontal="center"/>
    </xf>
    <xf numFmtId="0" fontId="12" fillId="8" borderId="14" xfId="0" applyFont="1" applyFill="1" applyBorder="1" applyAlignment="1">
      <alignment horizontal="center" vertical="center"/>
    </xf>
    <xf numFmtId="0" fontId="0" fillId="8" borderId="17" xfId="0" applyFill="1" applyBorder="1"/>
    <xf numFmtId="0" fontId="13" fillId="8" borderId="14" xfId="0" applyFont="1" applyFill="1" applyBorder="1" applyAlignment="1">
      <alignment horizontal="center" vertical="center"/>
    </xf>
    <xf numFmtId="0" fontId="0" fillId="8" borderId="15" xfId="0" applyFill="1" applyBorder="1"/>
    <xf numFmtId="0" fontId="0" fillId="8" borderId="0" xfId="0" applyFill="1" applyAlignment="1">
      <alignment horizontal="center" vertical="center"/>
    </xf>
    <xf numFmtId="0" fontId="12" fillId="8" borderId="18" xfId="0" applyFont="1" applyFill="1" applyBorder="1" applyAlignment="1">
      <alignment horizontal="center" vertical="center"/>
    </xf>
    <xf numFmtId="0" fontId="13" fillId="8" borderId="21" xfId="0" applyFont="1" applyFill="1" applyBorder="1" applyAlignment="1">
      <alignment horizontal="center" vertical="center"/>
    </xf>
    <xf numFmtId="0" fontId="13" fillId="8" borderId="18" xfId="0" applyFont="1" applyFill="1" applyBorder="1" applyAlignment="1">
      <alignment horizontal="center" vertical="center"/>
    </xf>
    <xf numFmtId="0" fontId="13" fillId="8" borderId="19" xfId="0" applyFont="1" applyFill="1" applyBorder="1" applyAlignment="1">
      <alignment horizontal="center" vertical="center"/>
    </xf>
    <xf numFmtId="1" fontId="14" fillId="8" borderId="20" xfId="1" applyNumberFormat="1" applyFont="1" applyFill="1" applyBorder="1" applyAlignment="1">
      <alignment horizontal="center" vertical="center"/>
    </xf>
    <xf numFmtId="43" fontId="0" fillId="8" borderId="0" xfId="1" applyFont="1" applyFill="1"/>
    <xf numFmtId="165" fontId="0" fillId="8" borderId="0" xfId="1" applyNumberFormat="1" applyFont="1" applyFill="1"/>
    <xf numFmtId="0" fontId="0" fillId="8" borderId="31" xfId="0" applyFill="1" applyBorder="1"/>
    <xf numFmtId="0" fontId="0" fillId="8" borderId="32" xfId="0" applyFill="1" applyBorder="1"/>
    <xf numFmtId="0" fontId="0" fillId="8" borderId="33" xfId="0" applyFill="1" applyBorder="1"/>
    <xf numFmtId="0" fontId="0" fillId="8" borderId="34" xfId="0" applyFill="1" applyBorder="1"/>
    <xf numFmtId="0" fontId="0" fillId="8" borderId="35" xfId="0" applyFill="1" applyBorder="1"/>
    <xf numFmtId="0" fontId="0" fillId="8" borderId="36" xfId="0" applyFill="1" applyBorder="1"/>
    <xf numFmtId="0" fontId="0" fillId="6" borderId="8" xfId="0" applyFill="1" applyBorder="1"/>
    <xf numFmtId="0" fontId="0" fillId="0" borderId="8" xfId="0" applyBorder="1"/>
    <xf numFmtId="0" fontId="0" fillId="9" borderId="0" xfId="0" applyFill="1"/>
    <xf numFmtId="0" fontId="0" fillId="9" borderId="3" xfId="0" applyFill="1" applyBorder="1" applyAlignment="1">
      <alignment horizontal="center"/>
    </xf>
    <xf numFmtId="0" fontId="0" fillId="9" borderId="2" xfId="0" applyFill="1" applyBorder="1" applyAlignment="1">
      <alignment horizontal="center"/>
    </xf>
    <xf numFmtId="0" fontId="0" fillId="9" borderId="4" xfId="0" applyFill="1" applyBorder="1" applyAlignment="1">
      <alignment horizontal="center"/>
    </xf>
    <xf numFmtId="0" fontId="0" fillId="9" borderId="5" xfId="0" applyFill="1" applyBorder="1" applyAlignment="1">
      <alignment horizontal="center"/>
    </xf>
    <xf numFmtId="0" fontId="0" fillId="9" borderId="6" xfId="0" applyFill="1" applyBorder="1" applyAlignment="1">
      <alignment horizontal="center"/>
    </xf>
    <xf numFmtId="0" fontId="0" fillId="9" borderId="7" xfId="0" applyFill="1" applyBorder="1" applyAlignment="1">
      <alignment horizontal="center"/>
    </xf>
    <xf numFmtId="0" fontId="0" fillId="9" borderId="40" xfId="0" applyFill="1" applyBorder="1"/>
    <xf numFmtId="0" fontId="0" fillId="9" borderId="41" xfId="0" applyFill="1" applyBorder="1"/>
    <xf numFmtId="0" fontId="11" fillId="4" borderId="47" xfId="0" applyFont="1" applyFill="1" applyBorder="1"/>
    <xf numFmtId="0" fontId="11" fillId="4" borderId="48" xfId="0" applyFont="1" applyFill="1" applyBorder="1"/>
    <xf numFmtId="0" fontId="11" fillId="4" borderId="45" xfId="0" applyFont="1" applyFill="1" applyBorder="1"/>
    <xf numFmtId="0" fontId="11" fillId="4" borderId="46" xfId="0" applyFont="1" applyFill="1" applyBorder="1"/>
    <xf numFmtId="0" fontId="11" fillId="7" borderId="47" xfId="0" applyFont="1" applyFill="1" applyBorder="1"/>
    <xf numFmtId="0" fontId="11" fillId="7" borderId="48" xfId="0" applyFont="1" applyFill="1" applyBorder="1"/>
    <xf numFmtId="0" fontId="11" fillId="7" borderId="45" xfId="0" applyFont="1" applyFill="1" applyBorder="1"/>
    <xf numFmtId="0" fontId="11" fillId="7" borderId="46" xfId="0" applyFont="1" applyFill="1" applyBorder="1"/>
    <xf numFmtId="0" fontId="11" fillId="7" borderId="10" xfId="0" applyFont="1" applyFill="1" applyBorder="1"/>
    <xf numFmtId="0" fontId="11" fillId="7" borderId="49" xfId="0" applyFont="1" applyFill="1" applyBorder="1" applyAlignment="1">
      <alignment horizontal="left"/>
    </xf>
    <xf numFmtId="0" fontId="11" fillId="7" borderId="50" xfId="0" applyFont="1" applyFill="1" applyBorder="1" applyAlignment="1">
      <alignment horizontal="left"/>
    </xf>
    <xf numFmtId="0" fontId="11" fillId="7" borderId="51" xfId="0" applyFont="1" applyFill="1" applyBorder="1" applyAlignment="1">
      <alignment horizontal="left"/>
    </xf>
    <xf numFmtId="0" fontId="11" fillId="7" borderId="52" xfId="0" applyFont="1" applyFill="1" applyBorder="1" applyAlignment="1">
      <alignment horizontal="left"/>
    </xf>
    <xf numFmtId="0" fontId="0" fillId="7" borderId="0" xfId="0" applyFill="1" applyAlignment="1">
      <alignment horizontal="left"/>
    </xf>
    <xf numFmtId="0" fontId="0" fillId="10" borderId="37" xfId="0" applyFill="1" applyBorder="1"/>
    <xf numFmtId="0" fontId="0" fillId="10" borderId="38" xfId="0" applyFill="1" applyBorder="1"/>
    <xf numFmtId="0" fontId="0" fillId="10" borderId="39" xfId="0" applyFill="1" applyBorder="1"/>
    <xf numFmtId="0" fontId="0" fillId="10" borderId="40" xfId="0" applyFill="1" applyBorder="1"/>
    <xf numFmtId="0" fontId="0" fillId="10" borderId="0" xfId="0" applyFill="1"/>
    <xf numFmtId="0" fontId="0" fillId="10" borderId="41" xfId="0" applyFill="1" applyBorder="1"/>
    <xf numFmtId="0" fontId="0" fillId="10" borderId="42" xfId="0" applyFill="1" applyBorder="1"/>
    <xf numFmtId="0" fontId="0" fillId="10" borderId="43" xfId="0" applyFill="1" applyBorder="1"/>
    <xf numFmtId="0" fontId="0" fillId="10" borderId="44" xfId="0" applyFill="1" applyBorder="1"/>
    <xf numFmtId="166" fontId="0" fillId="0" borderId="0" xfId="0" applyNumberFormat="1"/>
    <xf numFmtId="0" fontId="0" fillId="11" borderId="0" xfId="0" applyFill="1"/>
    <xf numFmtId="0" fontId="0" fillId="11" borderId="37" xfId="0" applyFill="1" applyBorder="1"/>
    <xf numFmtId="0" fontId="0" fillId="11" borderId="38" xfId="0" applyFill="1" applyBorder="1"/>
    <xf numFmtId="0" fontId="0" fillId="11" borderId="39" xfId="0" applyFill="1" applyBorder="1"/>
    <xf numFmtId="0" fontId="0" fillId="11" borderId="40" xfId="0" applyFill="1" applyBorder="1"/>
    <xf numFmtId="0" fontId="0" fillId="11" borderId="41" xfId="0" applyFill="1" applyBorder="1"/>
    <xf numFmtId="0" fontId="0" fillId="11" borderId="42" xfId="0" applyFill="1" applyBorder="1"/>
    <xf numFmtId="0" fontId="0" fillId="11" borderId="43" xfId="0" applyFill="1" applyBorder="1"/>
    <xf numFmtId="0" fontId="0" fillId="11" borderId="44" xfId="0" applyFill="1" applyBorder="1"/>
    <xf numFmtId="0" fontId="18" fillId="10" borderId="0" xfId="0" applyFont="1" applyFill="1"/>
    <xf numFmtId="0" fontId="19" fillId="10" borderId="0" xfId="0" applyFont="1" applyFill="1"/>
    <xf numFmtId="0" fontId="0" fillId="9" borderId="0" xfId="0" applyFill="1" applyAlignment="1">
      <alignment horizontal="left"/>
    </xf>
    <xf numFmtId="0" fontId="0" fillId="9" borderId="0" xfId="0" applyFill="1" applyAlignment="1">
      <alignment horizontal="left" indent="1"/>
    </xf>
    <xf numFmtId="0" fontId="0" fillId="12" borderId="37" xfId="0" applyFill="1" applyBorder="1"/>
    <xf numFmtId="0" fontId="0" fillId="12" borderId="38" xfId="0" applyFill="1" applyBorder="1"/>
    <xf numFmtId="0" fontId="0" fillId="12" borderId="39" xfId="0" applyFill="1" applyBorder="1"/>
    <xf numFmtId="0" fontId="0" fillId="12" borderId="40" xfId="0" applyFill="1" applyBorder="1"/>
    <xf numFmtId="0" fontId="20" fillId="12" borderId="0" xfId="0" applyFont="1" applyFill="1"/>
    <xf numFmtId="0" fontId="0" fillId="12" borderId="0" xfId="0" applyFill="1"/>
    <xf numFmtId="0" fontId="0" fillId="12" borderId="41" xfId="0" applyFill="1" applyBorder="1"/>
    <xf numFmtId="0" fontId="0" fillId="12" borderId="42" xfId="0" applyFill="1" applyBorder="1"/>
    <xf numFmtId="0" fontId="0" fillId="12" borderId="43" xfId="0" applyFill="1" applyBorder="1"/>
    <xf numFmtId="0" fontId="0" fillId="12" borderId="44" xfId="0" applyFill="1" applyBorder="1"/>
    <xf numFmtId="167" fontId="0" fillId="9" borderId="0" xfId="0" applyNumberFormat="1" applyFill="1"/>
    <xf numFmtId="168" fontId="0" fillId="9" borderId="0" xfId="0" applyNumberFormat="1" applyFill="1"/>
    <xf numFmtId="0" fontId="0" fillId="13" borderId="37" xfId="0" applyFill="1" applyBorder="1"/>
    <xf numFmtId="0" fontId="0" fillId="13" borderId="38" xfId="0" applyFill="1" applyBorder="1"/>
    <xf numFmtId="0" fontId="6" fillId="13" borderId="38" xfId="0" applyFont="1" applyFill="1" applyBorder="1"/>
    <xf numFmtId="0" fontId="5" fillId="13" borderId="38" xfId="0" applyFont="1" applyFill="1" applyBorder="1"/>
    <xf numFmtId="0" fontId="4" fillId="13" borderId="38" xfId="0" applyFont="1" applyFill="1" applyBorder="1"/>
    <xf numFmtId="0" fontId="0" fillId="13" borderId="39" xfId="0" applyFill="1" applyBorder="1"/>
    <xf numFmtId="0" fontId="0" fillId="13" borderId="40" xfId="0" applyFill="1" applyBorder="1"/>
    <xf numFmtId="0" fontId="0" fillId="13" borderId="0" xfId="0" applyFill="1"/>
    <xf numFmtId="0" fontId="8" fillId="13" borderId="0" xfId="0" applyFont="1" applyFill="1" applyAlignment="1">
      <alignment horizontal="right"/>
    </xf>
    <xf numFmtId="0" fontId="8" fillId="13" borderId="0" xfId="0" applyFont="1" applyFill="1"/>
    <xf numFmtId="0" fontId="0" fillId="13" borderId="41" xfId="0" applyFill="1" applyBorder="1"/>
    <xf numFmtId="0" fontId="0" fillId="13" borderId="42" xfId="0" applyFill="1" applyBorder="1"/>
    <xf numFmtId="0" fontId="0" fillId="13" borderId="43" xfId="0" applyFill="1" applyBorder="1"/>
    <xf numFmtId="0" fontId="0" fillId="13" borderId="44" xfId="0" applyFill="1" applyBorder="1"/>
    <xf numFmtId="0" fontId="21" fillId="9" borderId="0" xfId="0" applyFont="1" applyFill="1"/>
    <xf numFmtId="0" fontId="22" fillId="13" borderId="38" xfId="0" applyFont="1" applyFill="1" applyBorder="1"/>
    <xf numFmtId="0" fontId="23" fillId="11" borderId="60" xfId="0" applyFont="1" applyFill="1" applyBorder="1" applyAlignment="1">
      <alignment horizontal="left" vertical="center"/>
    </xf>
    <xf numFmtId="0" fontId="23" fillId="11" borderId="60" xfId="0" applyFont="1" applyFill="1" applyBorder="1" applyAlignment="1">
      <alignment horizontal="center" vertical="center"/>
    </xf>
    <xf numFmtId="0" fontId="23" fillId="11" borderId="61" xfId="0" applyFont="1" applyFill="1" applyBorder="1" applyAlignment="1">
      <alignment horizontal="left" vertical="center"/>
    </xf>
    <xf numFmtId="0" fontId="23" fillId="11" borderId="61" xfId="0" applyFont="1" applyFill="1" applyBorder="1" applyAlignment="1">
      <alignment horizontal="center" vertical="center"/>
    </xf>
    <xf numFmtId="0" fontId="23" fillId="11" borderId="62" xfId="0" applyFont="1" applyFill="1" applyBorder="1" applyAlignment="1">
      <alignment horizontal="left" vertical="center"/>
    </xf>
    <xf numFmtId="0" fontId="23" fillId="11" borderId="62" xfId="0" applyFont="1" applyFill="1" applyBorder="1" applyAlignment="1">
      <alignment horizontal="center" vertical="center"/>
    </xf>
    <xf numFmtId="0" fontId="21" fillId="11" borderId="41" xfId="0" applyFont="1" applyFill="1" applyBorder="1"/>
    <xf numFmtId="0" fontId="23" fillId="14" borderId="55" xfId="0" applyFont="1" applyFill="1" applyBorder="1" applyAlignment="1">
      <alignment horizontal="left" vertical="center"/>
    </xf>
    <xf numFmtId="0" fontId="23" fillId="14" borderId="53" xfId="0" applyFont="1" applyFill="1" applyBorder="1" applyAlignment="1">
      <alignment horizontal="center" vertical="center"/>
    </xf>
    <xf numFmtId="0" fontId="23" fillId="14" borderId="56" xfId="0" applyFont="1" applyFill="1" applyBorder="1" applyAlignment="1">
      <alignment horizontal="center" vertical="center"/>
    </xf>
    <xf numFmtId="0" fontId="0" fillId="13" borderId="54" xfId="0" applyFill="1" applyBorder="1"/>
    <xf numFmtId="0" fontId="0" fillId="13" borderId="0" xfId="0" applyFill="1" applyAlignment="1">
      <alignment horizontal="left"/>
    </xf>
    <xf numFmtId="0" fontId="24" fillId="11" borderId="0" xfId="0" applyFont="1" applyFill="1"/>
    <xf numFmtId="0" fontId="0" fillId="7" borderId="0" xfId="0" applyFill="1" applyAlignment="1">
      <alignment horizontal="center" vertical="center"/>
    </xf>
    <xf numFmtId="0" fontId="15" fillId="8" borderId="0" xfId="0" applyFont="1" applyFill="1" applyAlignment="1">
      <alignment horizontal="center" vertical="center"/>
    </xf>
    <xf numFmtId="0" fontId="16" fillId="7" borderId="22" xfId="0" applyFont="1" applyFill="1" applyBorder="1" applyAlignment="1">
      <alignment horizontal="center" vertical="center"/>
    </xf>
    <xf numFmtId="0" fontId="16" fillId="7" borderId="23" xfId="0" applyFont="1" applyFill="1" applyBorder="1" applyAlignment="1">
      <alignment horizontal="center" vertical="center"/>
    </xf>
    <xf numFmtId="0" fontId="16" fillId="7" borderId="24" xfId="0" applyFont="1" applyFill="1" applyBorder="1" applyAlignment="1">
      <alignment horizontal="center" vertical="center"/>
    </xf>
    <xf numFmtId="0" fontId="0" fillId="8" borderId="27" xfId="0" applyFill="1" applyBorder="1" applyAlignment="1">
      <alignment horizontal="center"/>
    </xf>
    <xf numFmtId="0" fontId="0" fillId="8" borderId="14" xfId="0" applyFill="1" applyBorder="1" applyAlignment="1">
      <alignment horizontal="center"/>
    </xf>
    <xf numFmtId="0" fontId="0" fillId="8" borderId="28" xfId="0" applyFill="1" applyBorder="1" applyAlignment="1">
      <alignment horizontal="center"/>
    </xf>
    <xf numFmtId="0" fontId="0" fillId="8" borderId="29" xfId="0" applyFill="1" applyBorder="1" applyAlignment="1">
      <alignment horizontal="center"/>
    </xf>
    <xf numFmtId="0" fontId="0" fillId="8" borderId="0" xfId="0" applyFill="1" applyAlignment="1">
      <alignment horizontal="center"/>
    </xf>
    <xf numFmtId="0" fontId="0" fillId="8" borderId="30" xfId="0" applyFill="1" applyBorder="1" applyAlignment="1">
      <alignment horizontal="center"/>
    </xf>
    <xf numFmtId="0" fontId="17" fillId="7" borderId="11" xfId="0" applyFont="1" applyFill="1" applyBorder="1" applyAlignment="1">
      <alignment horizontal="center" vertical="center"/>
    </xf>
    <xf numFmtId="0" fontId="17" fillId="7" borderId="12" xfId="0" applyFont="1" applyFill="1" applyBorder="1" applyAlignment="1">
      <alignment horizontal="center" vertical="center"/>
    </xf>
    <xf numFmtId="0" fontId="17" fillId="7" borderId="13" xfId="0" applyFont="1" applyFill="1" applyBorder="1" applyAlignment="1">
      <alignment horizontal="center" vertical="center"/>
    </xf>
    <xf numFmtId="0" fontId="0" fillId="13" borderId="57" xfId="0" applyNumberFormat="1" applyFill="1" applyBorder="1"/>
    <xf numFmtId="0" fontId="0" fillId="13" borderId="58" xfId="0" applyNumberFormat="1" applyFill="1" applyBorder="1"/>
    <xf numFmtId="0" fontId="0" fillId="13" borderId="59" xfId="0" applyNumberFormat="1" applyFill="1" applyBorder="1"/>
    <xf numFmtId="0" fontId="0" fillId="7" borderId="0" xfId="0" applyNumberFormat="1" applyFill="1" applyAlignment="1">
      <alignment horizontal="center" vertical="center"/>
    </xf>
    <xf numFmtId="0" fontId="11" fillId="7" borderId="49" xfId="0" applyNumberFormat="1" applyFont="1" applyFill="1" applyBorder="1"/>
    <xf numFmtId="0" fontId="11" fillId="7" borderId="50" xfId="0" applyNumberFormat="1" applyFont="1" applyFill="1" applyBorder="1"/>
    <xf numFmtId="0" fontId="11" fillId="7" borderId="52" xfId="0" applyNumberFormat="1" applyFont="1" applyFill="1" applyBorder="1"/>
  </cellXfs>
  <cellStyles count="2">
    <cellStyle name="Comma" xfId="1" builtinId="3"/>
    <cellStyle name="Normal" xfId="0" builtinId="0"/>
  </cellStyles>
  <dxfs count="370">
    <dxf>
      <font>
        <sz val="16"/>
      </font>
    </dxf>
    <dxf>
      <font>
        <sz val="16"/>
      </font>
    </dxf>
    <dxf>
      <font>
        <sz val="16"/>
      </font>
    </dxf>
    <dxf>
      <font>
        <sz val="16"/>
      </font>
    </dxf>
    <dxf>
      <font>
        <sz val="16"/>
      </font>
    </dxf>
    <dxf>
      <font>
        <sz val="16"/>
      </font>
    </dxf>
    <dxf>
      <numFmt numFmtId="0" formatCode="General"/>
    </dxf>
    <dxf>
      <font>
        <b/>
      </font>
    </dxf>
    <dxf>
      <font>
        <b/>
      </font>
    </dxf>
    <dxf>
      <font>
        <b/>
      </font>
    </dxf>
    <dxf>
      <font>
        <b/>
      </font>
    </dxf>
    <dxf>
      <font>
        <b/>
      </font>
    </dxf>
    <dxf>
      <font>
        <b/>
      </font>
    </dxf>
    <dxf>
      <font>
        <sz val="20"/>
      </font>
    </dxf>
    <dxf>
      <font>
        <sz val="20"/>
      </font>
    </dxf>
    <dxf>
      <font>
        <sz val="20"/>
      </font>
    </dxf>
    <dxf>
      <font>
        <sz val="20"/>
      </font>
    </dxf>
    <dxf>
      <font>
        <sz val="20"/>
      </font>
    </dxf>
    <dxf>
      <font>
        <sz val="20"/>
      </font>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bgColor theme="5" tint="0.39997558519241921"/>
        </patternFill>
      </fill>
    </dxf>
    <dxf>
      <fill>
        <patternFill>
          <bgColor theme="5" tint="0.39997558519241921"/>
        </patternFill>
      </fill>
    </dxf>
    <dxf>
      <fill>
        <patternFill>
          <bgColor theme="5" tint="0.39997558519241921"/>
        </patternFill>
      </fill>
    </dxf>
    <dxf>
      <fill>
        <patternFill>
          <bgColor theme="5" tint="0.39997558519241921"/>
        </patternFill>
      </fill>
    </dxf>
    <dxf>
      <fill>
        <patternFill>
          <bgColor theme="5" tint="0.39997558519241921"/>
        </patternFill>
      </fill>
    </dxf>
    <dxf>
      <fill>
        <patternFill>
          <bgColor theme="5" tint="0.39997558519241921"/>
        </patternFill>
      </fill>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top style="thick">
          <color auto="1"/>
        </top>
        <bottom style="thick">
          <color auto="1"/>
        </bottom>
      </border>
    </dxf>
    <dxf>
      <border>
        <left/>
        <top style="thick">
          <color auto="1"/>
        </top>
        <bottom style="thick">
          <color auto="1"/>
        </bottom>
      </border>
    </dxf>
    <dxf>
      <border>
        <vertical style="medium">
          <color auto="1"/>
        </vertical>
      </border>
    </dxf>
    <dxf>
      <border>
        <vertical style="medium">
          <color auto="1"/>
        </vertical>
      </border>
    </dxf>
    <dxf>
      <border>
        <left style="double">
          <color auto="1"/>
        </left>
      </border>
    </dxf>
    <dxf>
      <border>
        <top style="thick">
          <color auto="1"/>
        </top>
      </border>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ont>
        <b/>
      </font>
    </dxf>
    <dxf>
      <font>
        <b/>
      </font>
    </dxf>
    <dxf>
      <font>
        <b/>
      </font>
    </dxf>
    <dxf>
      <font>
        <b/>
      </font>
    </dxf>
    <dxf>
      <font>
        <b/>
      </font>
    </dxf>
    <dxf>
      <font>
        <b/>
      </font>
    </dxf>
    <dxf>
      <font>
        <sz val="20"/>
      </font>
    </dxf>
    <dxf>
      <font>
        <sz val="20"/>
      </font>
    </dxf>
    <dxf>
      <font>
        <sz val="20"/>
      </font>
    </dxf>
    <dxf>
      <font>
        <sz val="20"/>
      </font>
    </dxf>
    <dxf>
      <font>
        <sz val="20"/>
      </font>
    </dxf>
    <dxf>
      <font>
        <sz val="20"/>
      </font>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bgColor theme="5" tint="0.39997558519241921"/>
        </patternFill>
      </fill>
    </dxf>
    <dxf>
      <fill>
        <patternFill>
          <bgColor theme="5" tint="0.39997558519241921"/>
        </patternFill>
      </fill>
    </dxf>
    <dxf>
      <fill>
        <patternFill>
          <bgColor theme="5" tint="0.39997558519241921"/>
        </patternFill>
      </fill>
    </dxf>
    <dxf>
      <fill>
        <patternFill>
          <bgColor theme="5" tint="0.39997558519241921"/>
        </patternFill>
      </fill>
    </dxf>
    <dxf>
      <fill>
        <patternFill>
          <bgColor theme="5" tint="0.39997558519241921"/>
        </patternFill>
      </fill>
    </dxf>
    <dxf>
      <fill>
        <patternFill>
          <bgColor theme="5" tint="0.39997558519241921"/>
        </patternFill>
      </fill>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top style="thick">
          <color auto="1"/>
        </top>
        <bottom style="thick">
          <color auto="1"/>
        </bottom>
      </border>
    </dxf>
    <dxf>
      <border>
        <left/>
        <top style="thick">
          <color auto="1"/>
        </top>
        <bottom style="thick">
          <color auto="1"/>
        </bottom>
      </border>
    </dxf>
    <dxf>
      <border>
        <vertical style="medium">
          <color auto="1"/>
        </vertical>
      </border>
    </dxf>
    <dxf>
      <border>
        <vertical style="medium">
          <color auto="1"/>
        </vertical>
      </border>
    </dxf>
    <dxf>
      <border>
        <left style="double">
          <color auto="1"/>
        </left>
      </border>
    </dxf>
    <dxf>
      <border>
        <top style="thick">
          <color auto="1"/>
        </top>
      </border>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ont>
        <b/>
      </font>
    </dxf>
    <dxf>
      <font>
        <b/>
      </font>
    </dxf>
    <dxf>
      <font>
        <b/>
      </font>
    </dxf>
    <dxf>
      <font>
        <b/>
      </font>
    </dxf>
    <dxf>
      <font>
        <b/>
      </font>
    </dxf>
    <dxf>
      <font>
        <b/>
      </font>
    </dxf>
    <dxf>
      <font>
        <sz val="20"/>
      </font>
    </dxf>
    <dxf>
      <font>
        <sz val="20"/>
      </font>
    </dxf>
    <dxf>
      <font>
        <sz val="20"/>
      </font>
    </dxf>
    <dxf>
      <font>
        <sz val="20"/>
      </font>
    </dxf>
    <dxf>
      <font>
        <sz val="20"/>
      </font>
    </dxf>
    <dxf>
      <font>
        <sz val="20"/>
      </font>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bgColor theme="5" tint="0.39997558519241921"/>
        </patternFill>
      </fill>
    </dxf>
    <dxf>
      <fill>
        <patternFill>
          <bgColor theme="5" tint="0.39997558519241921"/>
        </patternFill>
      </fill>
    </dxf>
    <dxf>
      <fill>
        <patternFill>
          <bgColor theme="5" tint="0.39997558519241921"/>
        </patternFill>
      </fill>
    </dxf>
    <dxf>
      <fill>
        <patternFill>
          <bgColor theme="5" tint="0.39997558519241921"/>
        </patternFill>
      </fill>
    </dxf>
    <dxf>
      <fill>
        <patternFill>
          <bgColor theme="5" tint="0.39997558519241921"/>
        </patternFill>
      </fill>
    </dxf>
    <dxf>
      <fill>
        <patternFill>
          <bgColor theme="5" tint="0.39997558519241921"/>
        </patternFill>
      </fill>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top style="thick">
          <color auto="1"/>
        </top>
        <bottom style="thick">
          <color auto="1"/>
        </bottom>
      </border>
    </dxf>
    <dxf>
      <border>
        <left/>
        <top style="thick">
          <color auto="1"/>
        </top>
        <bottom style="thick">
          <color auto="1"/>
        </bottom>
      </border>
    </dxf>
    <dxf>
      <border>
        <vertical style="medium">
          <color auto="1"/>
        </vertical>
      </border>
    </dxf>
    <dxf>
      <border>
        <vertical style="medium">
          <color auto="1"/>
        </vertical>
      </border>
    </dxf>
    <dxf>
      <border>
        <left style="double">
          <color auto="1"/>
        </left>
      </border>
    </dxf>
    <dxf>
      <border>
        <top style="thick">
          <color auto="1"/>
        </top>
      </border>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alignment horizontal="center"/>
    </dxf>
    <dxf>
      <alignment horizontal="center"/>
    </dxf>
    <dxf>
      <alignment vertical="center"/>
    </dxf>
    <dxf>
      <alignment vertical="center"/>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alignment horizontal="center"/>
    </dxf>
    <dxf>
      <alignment horizontal="center"/>
    </dxf>
    <dxf>
      <alignment vertical="center"/>
    </dxf>
    <dxf>
      <alignment vertical="center"/>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bgColor theme="7" tint="0.59999389629810485"/>
        </patternFill>
      </fill>
    </dxf>
    <dxf>
      <fill>
        <patternFill>
          <bgColor theme="7" tint="0.59999389629810485"/>
        </patternFill>
      </fill>
    </dxf>
    <dxf>
      <fill>
        <patternFill>
          <bgColor theme="7" tint="0.59999389629810485"/>
        </patternFill>
      </fill>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bgColor theme="7" tint="0.59999389629810485"/>
        </patternFill>
      </fill>
    </dxf>
    <dxf>
      <fill>
        <patternFill>
          <bgColor theme="7" tint="0.59999389629810485"/>
        </patternFill>
      </fill>
    </dxf>
    <dxf>
      <fill>
        <patternFill>
          <bgColor theme="7" tint="0.59999389629810485"/>
        </patternFill>
      </fill>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bgColor theme="7" tint="0.59999389629810485"/>
        </patternFill>
      </fill>
    </dxf>
    <dxf>
      <fill>
        <patternFill>
          <bgColor theme="7" tint="0.59999389629810485"/>
        </patternFill>
      </fill>
    </dxf>
    <dxf>
      <fill>
        <patternFill>
          <bgColor theme="7" tint="0.59999389629810485"/>
        </patternFill>
      </fill>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bgColor theme="7" tint="0.59999389629810485"/>
        </patternFill>
      </fill>
    </dxf>
    <dxf>
      <fill>
        <patternFill>
          <bgColor theme="7" tint="0.59999389629810485"/>
        </patternFill>
      </fill>
    </dxf>
    <dxf>
      <fill>
        <patternFill>
          <bgColor theme="7" tint="0.59999389629810485"/>
        </patternFill>
      </fill>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0.000000"/>
    </dxf>
    <dxf>
      <numFmt numFmtId="0" formatCode="General"/>
    </dxf>
    <dxf>
      <numFmt numFmtId="0" formatCode="General"/>
    </dxf>
    <dxf>
      <numFmt numFmtId="0" formatCode="General"/>
    </dxf>
    <dxf>
      <numFmt numFmtId="0" formatCode="Genera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alignment vertical="center"/>
    </dxf>
    <dxf>
      <alignment vertical="center"/>
    </dxf>
    <dxf>
      <alignment horizontal="center"/>
    </dxf>
    <dxf>
      <alignment horizontal="center"/>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fill>
        <patternFill>
          <bgColor theme="7" tint="0.59999389629810485"/>
        </patternFill>
      </fill>
    </dxf>
    <dxf>
      <fill>
        <patternFill>
          <bgColor theme="7" tint="0.59999389629810485"/>
        </patternFill>
      </fill>
    </dxf>
    <dxf>
      <fill>
        <patternFill>
          <bgColor theme="7" tint="0.59999389629810485"/>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border>
        <top style="thick">
          <color auto="1"/>
        </top>
      </border>
    </dxf>
    <dxf>
      <border>
        <left style="double">
          <color auto="1"/>
        </left>
      </border>
    </dxf>
    <dxf>
      <border>
        <vertical style="medium">
          <color auto="1"/>
        </vertical>
      </border>
    </dxf>
    <dxf>
      <border>
        <vertical style="medium">
          <color auto="1"/>
        </vertical>
      </border>
    </dxf>
    <dxf>
      <border>
        <left/>
        <top style="thick">
          <color auto="1"/>
        </top>
        <bottom style="thick">
          <color auto="1"/>
        </bottom>
      </border>
    </dxf>
    <dxf>
      <border>
        <left/>
        <top style="thick">
          <color auto="1"/>
        </top>
        <bottom style="thick">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fill>
        <patternFill>
          <bgColor theme="5" tint="0.39997558519241921"/>
        </patternFill>
      </fill>
    </dxf>
    <dxf>
      <fill>
        <patternFill>
          <bgColor theme="5" tint="0.39997558519241921"/>
        </patternFill>
      </fill>
    </dxf>
    <dxf>
      <fill>
        <patternFill>
          <bgColor theme="5" tint="0.39997558519241921"/>
        </patternFill>
      </fill>
    </dxf>
    <dxf>
      <fill>
        <patternFill>
          <bgColor theme="5" tint="0.39997558519241921"/>
        </patternFill>
      </fill>
    </dxf>
    <dxf>
      <fill>
        <patternFill>
          <bgColor theme="5" tint="0.39997558519241921"/>
        </patternFill>
      </fill>
    </dxf>
    <dxf>
      <fill>
        <patternFill>
          <bgColor theme="5" tint="0.39997558519241921"/>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ont>
        <sz val="20"/>
      </font>
    </dxf>
    <dxf>
      <font>
        <sz val="20"/>
      </font>
    </dxf>
    <dxf>
      <font>
        <sz val="20"/>
      </font>
    </dxf>
    <dxf>
      <font>
        <sz val="20"/>
      </font>
    </dxf>
    <dxf>
      <font>
        <sz val="20"/>
      </font>
    </dxf>
    <dxf>
      <font>
        <sz val="20"/>
      </font>
    </dxf>
    <dxf>
      <font>
        <b/>
      </font>
    </dxf>
    <dxf>
      <font>
        <b/>
      </font>
    </dxf>
    <dxf>
      <font>
        <b/>
      </font>
    </dxf>
    <dxf>
      <font>
        <b/>
      </font>
    </dxf>
    <dxf>
      <font>
        <b/>
      </font>
    </dxf>
    <dxf>
      <font>
        <b/>
      </font>
    </dxf>
    <dxf>
      <font>
        <b/>
        <i val="0"/>
        <color theme="0"/>
      </font>
      <fill>
        <patternFill>
          <bgColor theme="9"/>
        </patternFill>
      </fill>
    </dxf>
    <dxf>
      <font>
        <b/>
        <i val="0"/>
        <color theme="0"/>
      </font>
      <fill>
        <patternFill>
          <bgColor rgb="FFFF0000"/>
        </patternFill>
      </fill>
    </dxf>
    <dxf>
      <font>
        <b/>
        <i val="0"/>
        <color theme="0"/>
      </font>
      <fill>
        <patternFill>
          <bgColor theme="9"/>
        </patternFill>
      </fill>
    </dxf>
    <dxf>
      <font>
        <b/>
        <i val="0"/>
        <color theme="0"/>
      </font>
      <fill>
        <patternFill>
          <bgColor rgb="FFFF0000"/>
        </patternFill>
      </fill>
    </dxf>
    <dxf>
      <numFmt numFmtId="168" formatCode="0.0000%"/>
    </dxf>
    <dxf>
      <numFmt numFmtId="168" formatCode="0.0000%"/>
    </dxf>
    <dxf>
      <numFmt numFmtId="167" formatCode="_-[$$-409]* #,##0.0000_ ;_-[$$-409]* \-#,##0.0000\ ;_-[$$-409]* &quot;-&quot;??_ ;_-@_ "/>
    </dxf>
    <dxf>
      <numFmt numFmtId="167" formatCode="_-[$$-409]* #,##0.0000_ ;_-[$$-409]* \-#,##0.0000\ ;_-[$$-409]* &quot;-&quot;??_ ;_-@_ "/>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ont>
        <b/>
        <i val="0"/>
        <sz val="36"/>
      </font>
      <fill>
        <patternFill>
          <bgColor theme="0"/>
        </patternFill>
      </fill>
    </dxf>
    <dxf>
      <font>
        <b/>
        <i val="0"/>
        <sz val="32"/>
      </font>
      <fill>
        <patternFill>
          <bgColor theme="7" tint="0.39994506668294322"/>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9" defaultPivotStyle="PivotStyleLight16">
    <tableStyle name="Slicer Style 1" pivot="0" table="0" count="5" xr9:uid="{8D285DD0-9D68-4F0C-8931-550A875B3319}">
      <tableStyleElement type="wholeTable" dxfId="369"/>
      <tableStyleElement type="headerRow" dxfId="368"/>
    </tableStyle>
  </tableStyles>
  <extLst>
    <ext xmlns:x14="http://schemas.microsoft.com/office/spreadsheetml/2009/9/main" uri="{46F421CA-312F-682f-3DD2-61675219B42D}">
      <x14:dxfs count="3">
        <dxf>
          <fill>
            <patternFill>
              <bgColor theme="0"/>
            </patternFill>
          </fill>
        </dxf>
        <dxf>
          <fill>
            <patternFill>
              <bgColor theme="7" tint="0.59996337778862885"/>
            </patternFill>
          </fill>
        </dxf>
        <dxf>
          <fill>
            <patternFill>
              <bgColor theme="7"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1.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pivotCacheDefinition" Target="pivotCache/pivotCacheDefinition5.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3.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6.xml"/><Relationship Id="rId28"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5.xml"/><Relationship Id="rId27" Type="http://schemas.openxmlformats.org/officeDocument/2006/relationships/sharedStrings" Target="sharedString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[Crypto_Analysis_Internship.xlsm]Backend_1!PivotTable1</c:name>
    <c:fmtId val="8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Backend_1!$B$3</c:f>
              <c:strCache>
                <c:ptCount val="1"/>
                <c:pt idx="0">
                  <c:v>Total</c:v>
                </c:pt>
              </c:strCache>
            </c:strRef>
          </c:tx>
          <c:spPr>
            <a:solidFill>
              <a:schemeClr val="accent1"/>
            </a:solidFill>
            <a:ln>
              <a:noFill/>
            </a:ln>
            <a:effectLst/>
          </c:spPr>
          <c:invertIfNegative val="0"/>
          <c:cat>
            <c:strRef>
              <c:f>Backend_1!$A$4:$A$14</c:f>
              <c:strCache>
                <c:ptCount val="10"/>
                <c:pt idx="0">
                  <c:v>Zcash</c:v>
                </c:pt>
                <c:pt idx="1">
                  <c:v>XRP</c:v>
                </c:pt>
                <c:pt idx="2">
                  <c:v>Stellar</c:v>
                </c:pt>
                <c:pt idx="3">
                  <c:v>Jito</c:v>
                </c:pt>
                <c:pt idx="4">
                  <c:v>Ethereum</c:v>
                </c:pt>
                <c:pt idx="5">
                  <c:v>Dogecoin</c:v>
                </c:pt>
                <c:pt idx="6">
                  <c:v>BNB</c:v>
                </c:pt>
                <c:pt idx="7">
                  <c:v>Bitcoin</c:v>
                </c:pt>
                <c:pt idx="8">
                  <c:v>Chiliz</c:v>
                </c:pt>
                <c:pt idx="9">
                  <c:v>Plume</c:v>
                </c:pt>
              </c:strCache>
            </c:strRef>
          </c:cat>
          <c:val>
            <c:numRef>
              <c:f>Backend_1!$B$4:$B$14</c:f>
              <c:numCache>
                <c:formatCode>General</c:formatCode>
                <c:ptCount val="10"/>
                <c:pt idx="0">
                  <c:v>3017414794</c:v>
                </c:pt>
                <c:pt idx="1">
                  <c:v>3848897507</c:v>
                </c:pt>
                <c:pt idx="2">
                  <c:v>916226709</c:v>
                </c:pt>
                <c:pt idx="3">
                  <c:v>48228844</c:v>
                </c:pt>
                <c:pt idx="4">
                  <c:v>36178864935</c:v>
                </c:pt>
                <c:pt idx="5">
                  <c:v>1790825480</c:v>
                </c:pt>
                <c:pt idx="6">
                  <c:v>2533998725</c:v>
                </c:pt>
                <c:pt idx="7">
                  <c:v>67558459644</c:v>
                </c:pt>
                <c:pt idx="8">
                  <c:v>80182341</c:v>
                </c:pt>
                <c:pt idx="9">
                  <c:v>24722387</c:v>
                </c:pt>
              </c:numCache>
            </c:numRef>
          </c:val>
          <c:extLst>
            <c:ext xmlns:c16="http://schemas.microsoft.com/office/drawing/2014/chart" uri="{C3380CC4-5D6E-409C-BE32-E72D297353CC}">
              <c16:uniqueId val="{00000000-2655-4AB9-A324-C262568DD0CE}"/>
            </c:ext>
          </c:extLst>
        </c:ser>
        <c:dLbls>
          <c:showLegendKey val="0"/>
          <c:showVal val="0"/>
          <c:showCatName val="0"/>
          <c:showSerName val="0"/>
          <c:showPercent val="0"/>
          <c:showBubbleSize val="0"/>
        </c:dLbls>
        <c:gapWidth val="25"/>
        <c:overlap val="-27"/>
        <c:axId val="1287849663"/>
        <c:axId val="1287848703"/>
      </c:barChart>
      <c:catAx>
        <c:axId val="12878496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crossAx val="1287848703"/>
        <c:crosses val="autoZero"/>
        <c:auto val="1"/>
        <c:lblAlgn val="ctr"/>
        <c:lblOffset val="100"/>
        <c:noMultiLvlLbl val="0"/>
      </c:catAx>
      <c:valAx>
        <c:axId val="12878487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crossAx val="12878496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2400"/>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[Crypto_Analysis_Internship.xlsm]Backend_1!PivotTable2</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254000" sx="102000" sy="102000" algn="ctr" rotWithShape="0">
              <a:prstClr val="black">
                <a:alpha val="20000"/>
              </a:prstClr>
            </a:outerShdw>
          </a:effectLst>
        </c:spPr>
        <c:dLbl>
          <c:idx val="0"/>
          <c:layout>
            <c:manualLayout>
              <c:x val="0.2389740270323967"/>
              <c:y val="9.1531077573878891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254000" sx="102000" sy="102000" algn="ctr" rotWithShape="0">
              <a:prstClr val="black">
                <a:alpha val="20000"/>
              </a:prstClr>
            </a:outerShdw>
          </a:effectLst>
        </c:spPr>
        <c:dLbl>
          <c:idx val="0"/>
          <c:layout>
            <c:manualLayout>
              <c:x val="0.13319237437706968"/>
              <c:y val="-3.1264840028645486E-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a:outerShdw blurRad="254000" sx="102000" sy="102000" algn="ctr" rotWithShape="0">
              <a:prstClr val="black">
                <a:alpha val="20000"/>
              </a:prstClr>
            </a:outerShdw>
          </a:effectLst>
        </c:spPr>
        <c:dLbl>
          <c:idx val="0"/>
          <c:layout>
            <c:manualLayout>
              <c:x val="-7.9688914337809336E-2"/>
              <c:y val="0.25368438907148594"/>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a:outerShdw blurRad="254000" sx="102000" sy="102000" algn="ctr" rotWithShape="0">
              <a:prstClr val="black">
                <a:alpha val="20000"/>
              </a:prstClr>
            </a:outerShdw>
          </a:effectLst>
        </c:spPr>
        <c:dLbl>
          <c:idx val="0"/>
          <c:layout>
            <c:manualLayout>
              <c:x val="-0.18681465771322134"/>
              <c:y val="0.22830792470146385"/>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dLbl>
          <c:idx val="0"/>
          <c:layout>
            <c:manualLayout>
              <c:x val="-9.7056506424303399E-2"/>
              <c:y val="-4.016863446410851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1"/>
          </a:solidFill>
          <a:ln>
            <a:noFill/>
          </a:ln>
          <a:effectLst>
            <a:outerShdw blurRad="254000" sx="102000" sy="102000" algn="ctr" rotWithShape="0">
              <a:prstClr val="black">
                <a:alpha val="20000"/>
              </a:prstClr>
            </a:outerShdw>
          </a:effectLst>
        </c:spPr>
        <c:dLbl>
          <c:idx val="0"/>
          <c:layout>
            <c:manualLayout>
              <c:x val="-0.13562841414254559"/>
              <c:y val="3.4409048980187637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1"/>
          </a:solidFill>
          <a:ln>
            <a:noFill/>
          </a:ln>
          <a:effectLst>
            <a:outerShdw blurRad="254000" sx="102000" sy="102000" algn="ctr" rotWithShape="0">
              <a:prstClr val="black">
                <a:alpha val="20000"/>
              </a:prstClr>
            </a:outerShdw>
          </a:effectLst>
        </c:spPr>
        <c:dLbl>
          <c:idx val="0"/>
          <c:layout>
            <c:manualLayout>
              <c:x val="-0.25269974315138843"/>
              <c:y val="2.9639806886684186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a:outerShdw blurRad="254000" sx="102000" sy="102000" algn="ctr" rotWithShape="0">
              <a:prstClr val="black">
                <a:alpha val="20000"/>
              </a:prstClr>
            </a:outerShdw>
          </a:effectLst>
        </c:spPr>
        <c:dLbl>
          <c:idx val="0"/>
          <c:layout>
            <c:manualLayout>
              <c:x val="-0.18674394758022139"/>
              <c:y val="0"/>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1"/>
        <c:dLbl>
          <c:idx val="0"/>
          <c:layout>
            <c:manualLayout>
              <c:x val="4.2198481054044439E-3"/>
              <c:y val="-0.16067453785643404"/>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2"/>
        <c:dLbl>
          <c:idx val="0"/>
          <c:layout>
            <c:manualLayout>
              <c:x val="4.9231561229719119E-2"/>
              <c:y val="-0.20084317232054255"/>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1"/>
          </a:solidFill>
          <a:ln>
            <a:noFill/>
          </a:ln>
          <a:effectLst>
            <a:outerShdw blurRad="254000" sx="102000" sy="102000" algn="ctr" rotWithShape="0">
              <a:prstClr val="black">
                <a:alpha val="20000"/>
              </a:prstClr>
            </a:outerShdw>
          </a:effectLst>
        </c:spPr>
      </c:pivotFmt>
      <c:pivotFmt>
        <c:idx val="24"/>
        <c:spPr>
          <a:solidFill>
            <a:schemeClr val="accent1"/>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pivotFmt>
      <c:pivotFmt>
        <c:idx val="26"/>
        <c:spPr>
          <a:solidFill>
            <a:schemeClr val="accent1"/>
          </a:solidFill>
          <a:ln>
            <a:noFill/>
          </a:ln>
          <a:effectLst>
            <a:outerShdw blurRad="254000" sx="102000" sy="102000" algn="ctr" rotWithShape="0">
              <a:prstClr val="black">
                <a:alpha val="20000"/>
              </a:prstClr>
            </a:outerShdw>
          </a:effectLst>
        </c:spPr>
      </c:pivotFmt>
      <c:pivotFmt>
        <c:idx val="27"/>
        <c:spPr>
          <a:solidFill>
            <a:schemeClr val="accent1"/>
          </a:solidFill>
          <a:ln>
            <a:noFill/>
          </a:ln>
          <a:effectLst>
            <a:outerShdw blurRad="254000" sx="102000" sy="102000" algn="ctr" rotWithShape="0">
              <a:prstClr val="black">
                <a:alpha val="20000"/>
              </a:prstClr>
            </a:outerShdw>
          </a:effectLst>
        </c:spPr>
        <c:dLbl>
          <c:idx val="0"/>
          <c:layout>
            <c:manualLayout>
              <c:x val="7.7363881932415751E-2"/>
              <c:y val="-8.703204133890177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1"/>
          </a:solidFill>
          <a:ln>
            <a:noFill/>
          </a:ln>
          <a:effectLst>
            <a:outerShdw blurRad="254000" sx="102000" sy="102000" algn="ctr" rotWithShape="0">
              <a:prstClr val="black">
                <a:alpha val="20000"/>
              </a:prstClr>
            </a:outerShdw>
          </a:effectLst>
        </c:spPr>
        <c:dLbl>
          <c:idx val="0"/>
          <c:layout>
            <c:manualLayout>
              <c:x val="-9.4243274354033735E-2"/>
              <c:y val="0.15732715165109165"/>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9"/>
        <c:spPr>
          <a:solidFill>
            <a:schemeClr val="accent1"/>
          </a:solidFill>
          <a:ln>
            <a:noFill/>
          </a:ln>
          <a:effectLst>
            <a:outerShdw blurRad="254000" sx="102000" sy="102000" algn="ctr" rotWithShape="0">
              <a:prstClr val="black">
                <a:alpha val="20000"/>
              </a:prstClr>
            </a:outerShdw>
          </a:effectLst>
        </c:spPr>
        <c:dLbl>
          <c:idx val="0"/>
          <c:layout>
            <c:manualLayout>
              <c:x val="-0.13925498747834836"/>
              <c:y val="9.3726813749586524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0"/>
        <c:spPr>
          <a:solidFill>
            <a:schemeClr val="accent1"/>
          </a:solidFill>
          <a:ln>
            <a:noFill/>
          </a:ln>
          <a:effectLst>
            <a:outerShdw blurRad="254000" sx="102000" sy="102000" algn="ctr" rotWithShape="0">
              <a:prstClr val="black">
                <a:alpha val="20000"/>
              </a:prstClr>
            </a:outerShdw>
          </a:effectLst>
        </c:spPr>
      </c:pivotFmt>
      <c:pivotFmt>
        <c:idx val="31"/>
        <c:spPr>
          <a:solidFill>
            <a:schemeClr val="accent1"/>
          </a:solidFill>
          <a:ln>
            <a:noFill/>
          </a:ln>
          <a:effectLst>
            <a:outerShdw blurRad="254000" sx="102000" sy="102000" algn="ctr" rotWithShape="0">
              <a:prstClr val="black">
                <a:alpha val="20000"/>
              </a:prstClr>
            </a:outerShdw>
          </a:effectLst>
        </c:spPr>
        <c:dLbl>
          <c:idx val="0"/>
          <c:layout>
            <c:manualLayout>
              <c:x val="-9.7056506424303454E-2"/>
              <c:y val="-0.19080101370451541"/>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2"/>
        <c:spPr>
          <a:solidFill>
            <a:schemeClr val="accent1"/>
          </a:solidFill>
          <a:ln>
            <a:noFill/>
          </a:ln>
          <a:effectLst>
            <a:outerShdw blurRad="254000" sx="102000" sy="102000" algn="ctr" rotWithShape="0">
              <a:prstClr val="black">
                <a:alpha val="20000"/>
              </a:prstClr>
            </a:outerShdw>
          </a:effectLst>
        </c:spPr>
      </c:pivotFmt>
      <c:pivotFmt>
        <c:idx val="33"/>
        <c:spPr>
          <a:solidFill>
            <a:schemeClr val="accent1"/>
          </a:solidFill>
          <a:ln>
            <a:noFill/>
          </a:ln>
          <a:effectLst>
            <a:outerShdw blurRad="254000" sx="102000" sy="102000" algn="ctr" rotWithShape="0">
              <a:prstClr val="black">
                <a:alpha val="20000"/>
              </a:prstClr>
            </a:outerShdw>
          </a:effectLst>
        </c:spPr>
      </c:pivotFmt>
      <c:pivotFmt>
        <c:idx val="34"/>
        <c:spPr>
          <a:solidFill>
            <a:schemeClr val="accent1"/>
          </a:solidFill>
          <a:ln>
            <a:noFill/>
          </a:ln>
          <a:effectLst>
            <a:outerShdw blurRad="254000" sx="102000" sy="102000" algn="ctr" rotWithShape="0">
              <a:prstClr val="black">
                <a:alpha val="20000"/>
              </a:prstClr>
            </a:outerShdw>
          </a:effectLst>
        </c:spPr>
      </c:pivotFmt>
      <c:pivotFmt>
        <c:idx val="35"/>
        <c:spPr>
          <a:solidFill>
            <a:schemeClr val="accent1"/>
          </a:solidFill>
          <a:ln>
            <a:noFill/>
          </a:ln>
          <a:effectLst>
            <a:outerShdw blurRad="254000" sx="102000" sy="102000" algn="ctr" rotWithShape="0">
              <a:prstClr val="black">
                <a:alpha val="20000"/>
              </a:prstClr>
            </a:outerShdw>
          </a:effectLst>
        </c:spPr>
      </c:pivotFmt>
      <c:pivotFmt>
        <c:idx val="36"/>
        <c:spPr>
          <a:solidFill>
            <a:schemeClr val="accent1"/>
          </a:solidFill>
          <a:ln>
            <a:noFill/>
          </a:ln>
          <a:effectLst>
            <a:outerShdw blurRad="254000" sx="102000" sy="102000" algn="ctr" rotWithShape="0">
              <a:prstClr val="black">
                <a:alpha val="20000"/>
              </a:prstClr>
            </a:outerShdw>
          </a:effectLst>
        </c:spPr>
      </c:pivotFmt>
      <c:pivotFmt>
        <c:idx val="37"/>
        <c:spPr>
          <a:solidFill>
            <a:schemeClr val="accent1"/>
          </a:solidFill>
          <a:ln>
            <a:noFill/>
          </a:ln>
          <a:effectLst>
            <a:outerShdw blurRad="254000" sx="102000" sy="102000" algn="ctr" rotWithShape="0">
              <a:prstClr val="black">
                <a:alpha val="20000"/>
              </a:prstClr>
            </a:outerShdw>
          </a:effectLst>
        </c:spPr>
        <c:dLbl>
          <c:idx val="0"/>
          <c:layout>
            <c:manualLayout>
              <c:x val="-6.1891105545932606E-2"/>
              <c:y val="-0.2175801033472544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8"/>
        <c:spPr>
          <a:solidFill>
            <a:schemeClr val="accent1"/>
          </a:solidFill>
          <a:ln>
            <a:noFill/>
          </a:ln>
          <a:effectLst>
            <a:outerShdw blurRad="254000" sx="102000" sy="102000" algn="ctr" rotWithShape="0">
              <a:prstClr val="black">
                <a:alpha val="20000"/>
              </a:prstClr>
            </a:outerShdw>
          </a:effectLst>
        </c:spPr>
      </c:pivotFmt>
      <c:pivotFmt>
        <c:idx val="39"/>
        <c:spPr>
          <a:solidFill>
            <a:schemeClr val="accent1"/>
          </a:solidFill>
          <a:ln>
            <a:noFill/>
          </a:ln>
          <a:effectLst>
            <a:outerShdw blurRad="254000" sx="102000" sy="102000" algn="ctr" rotWithShape="0">
              <a:prstClr val="black">
                <a:alpha val="20000"/>
              </a:prstClr>
            </a:outerShdw>
          </a:effectLst>
        </c:spPr>
      </c:pivotFmt>
      <c:pivotFmt>
        <c:idx val="40"/>
        <c:spPr>
          <a:solidFill>
            <a:schemeClr val="accent1"/>
          </a:solidFill>
          <a:ln>
            <a:noFill/>
          </a:ln>
          <a:effectLst>
            <a:outerShdw blurRad="254000" sx="102000" sy="102000" algn="ctr" rotWithShape="0">
              <a:prstClr val="black">
                <a:alpha val="20000"/>
              </a:prstClr>
            </a:outerShdw>
          </a:effectLst>
        </c:spPr>
        <c:dLbl>
          <c:idx val="0"/>
          <c:layout>
            <c:manualLayout>
              <c:x val="-0.25402669339956591"/>
              <c:y val="-0.11880639210885285"/>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c:spPr>
      </c:pivotFmt>
      <c:pivotFmt>
        <c:idx val="42"/>
        <c:spPr>
          <a:solidFill>
            <a:schemeClr val="accent1"/>
          </a:solidFill>
          <a:ln>
            <a:noFill/>
          </a:ln>
          <a:effectLst>
            <a:outerShdw blurRad="254000" sx="102000" sy="102000" algn="ctr" rotWithShape="0">
              <a:prstClr val="black">
                <a:alpha val="20000"/>
              </a:prstClr>
            </a:outerShdw>
          </a:effectLst>
        </c:spPr>
      </c:pivotFmt>
      <c:pivotFmt>
        <c:idx val="43"/>
        <c:spPr>
          <a:solidFill>
            <a:schemeClr val="accent1"/>
          </a:solidFill>
          <a:ln>
            <a:noFill/>
          </a:ln>
          <a:effectLst>
            <a:outerShdw blurRad="254000" sx="102000" sy="102000" algn="ctr" rotWithShape="0">
              <a:prstClr val="black">
                <a:alpha val="20000"/>
              </a:prstClr>
            </a:outerShdw>
          </a:effectLst>
        </c:spPr>
      </c:pivotFmt>
      <c:pivotFmt>
        <c:idx val="44"/>
        <c:spPr>
          <a:solidFill>
            <a:schemeClr val="accent1"/>
          </a:solidFill>
          <a:ln>
            <a:noFill/>
          </a:ln>
          <a:effectLst>
            <a:outerShdw blurRad="254000" sx="102000" sy="102000" algn="ctr" rotWithShape="0">
              <a:prstClr val="black">
                <a:alpha val="20000"/>
              </a:prstClr>
            </a:outerShdw>
          </a:effectLst>
        </c:spPr>
      </c:pivotFmt>
      <c:pivotFmt>
        <c:idx val="45"/>
        <c:spPr>
          <a:solidFill>
            <a:schemeClr val="accent1"/>
          </a:solidFill>
          <a:ln>
            <a:noFill/>
          </a:ln>
          <a:effectLst>
            <a:outerShdw blurRad="254000" sx="102000" sy="102000" algn="ctr" rotWithShape="0">
              <a:prstClr val="black">
                <a:alpha val="20000"/>
              </a:prstClr>
            </a:outerShdw>
          </a:effectLst>
        </c:spPr>
      </c:pivotFmt>
      <c:pivotFmt>
        <c:idx val="46"/>
        <c:spPr>
          <a:solidFill>
            <a:schemeClr val="accent1"/>
          </a:solidFill>
          <a:ln>
            <a:noFill/>
          </a:ln>
          <a:effectLst>
            <a:outerShdw blurRad="254000" sx="102000" sy="102000" algn="ctr" rotWithShape="0">
              <a:prstClr val="black">
                <a:alpha val="20000"/>
              </a:prstClr>
            </a:outerShdw>
          </a:effectLst>
        </c:spPr>
        <c:dLbl>
          <c:idx val="0"/>
          <c:layout>
            <c:manualLayout>
              <c:x val="0.15104289877812016"/>
              <c:y val="-0.10004748809166555"/>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7"/>
        <c:spPr>
          <a:solidFill>
            <a:schemeClr val="accent1"/>
          </a:solidFill>
          <a:ln>
            <a:noFill/>
          </a:ln>
          <a:effectLst>
            <a:outerShdw blurRad="254000" sx="102000" sy="102000" algn="ctr" rotWithShape="0">
              <a:prstClr val="black">
                <a:alpha val="20000"/>
              </a:prstClr>
            </a:outerShdw>
          </a:effectLst>
        </c:spPr>
        <c:dLbl>
          <c:idx val="0"/>
          <c:layout>
            <c:manualLayout>
              <c:x val="0.24441487256823094"/>
              <c:y val="-5.0023744045832791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8"/>
        <c:spPr>
          <a:solidFill>
            <a:schemeClr val="accent1"/>
          </a:solidFill>
          <a:ln>
            <a:noFill/>
          </a:ln>
          <a:effectLst>
            <a:outerShdw blurRad="254000" sx="102000" sy="102000" algn="ctr" rotWithShape="0">
              <a:prstClr val="black">
                <a:alpha val="20000"/>
              </a:prstClr>
            </a:outerShdw>
          </a:effectLst>
        </c:spPr>
      </c:pivotFmt>
      <c:pivotFmt>
        <c:idx val="49"/>
        <c:spPr>
          <a:solidFill>
            <a:schemeClr val="accent1"/>
          </a:solidFill>
          <a:ln>
            <a:noFill/>
          </a:ln>
          <a:effectLst>
            <a:outerShdw blurRad="254000" sx="102000" sy="102000" algn="ctr" rotWithShape="0">
              <a:prstClr val="black">
                <a:alpha val="20000"/>
              </a:prstClr>
            </a:outerShdw>
          </a:effectLst>
        </c:spPr>
      </c:pivotFmt>
      <c:pivotFmt>
        <c:idx val="50"/>
        <c:spPr>
          <a:solidFill>
            <a:schemeClr val="accent1"/>
          </a:solidFill>
          <a:ln>
            <a:noFill/>
          </a:ln>
          <a:effectLst>
            <a:outerShdw blurRad="254000" sx="102000" sy="102000" algn="ctr" rotWithShape="0">
              <a:prstClr val="black">
                <a:alpha val="20000"/>
              </a:prstClr>
            </a:outerShdw>
          </a:effectLst>
        </c:spPr>
      </c:pivotFmt>
      <c:pivotFmt>
        <c:idx val="51"/>
        <c:spPr>
          <a:solidFill>
            <a:schemeClr val="accent1"/>
          </a:solidFill>
          <a:ln>
            <a:noFill/>
          </a:ln>
          <a:effectLst>
            <a:outerShdw blurRad="254000" sx="102000" sy="102000" algn="ctr" rotWithShape="0">
              <a:prstClr val="black">
                <a:alpha val="20000"/>
              </a:prstClr>
            </a:outerShdw>
          </a:effectLst>
        </c:spPr>
      </c:pivotFmt>
      <c:pivotFmt>
        <c:idx val="52"/>
        <c:spPr>
          <a:solidFill>
            <a:schemeClr val="accent1"/>
          </a:solidFill>
          <a:ln>
            <a:noFill/>
          </a:ln>
          <a:effectLst>
            <a:outerShdw blurRad="254000" sx="102000" sy="102000" algn="ctr" rotWithShape="0">
              <a:prstClr val="black">
                <a:alpha val="20000"/>
              </a:prstClr>
            </a:outerShdw>
          </a:effectLst>
        </c:spPr>
      </c:pivotFmt>
      <c:pivotFmt>
        <c:idx val="53"/>
        <c:spPr>
          <a:solidFill>
            <a:schemeClr val="accent1"/>
          </a:solidFill>
          <a:ln>
            <a:noFill/>
          </a:ln>
          <a:effectLst>
            <a:outerShdw blurRad="254000" sx="102000" sy="102000" algn="ctr" rotWithShape="0">
              <a:prstClr val="black">
                <a:alpha val="20000"/>
              </a:prstClr>
            </a:outerShdw>
          </a:effectLst>
        </c:spPr>
      </c:pivotFmt>
      <c:pivotFmt>
        <c:idx val="54"/>
        <c:spPr>
          <a:solidFill>
            <a:schemeClr val="accent1"/>
          </a:solidFill>
          <a:ln>
            <a:noFill/>
          </a:ln>
          <a:effectLst>
            <a:outerShdw blurRad="254000" sx="102000" sy="102000" algn="ctr" rotWithShape="0">
              <a:prstClr val="black">
                <a:alpha val="20000"/>
              </a:prstClr>
            </a:outerShdw>
          </a:effectLst>
        </c:spPr>
      </c:pivotFmt>
      <c:pivotFmt>
        <c:idx val="55"/>
        <c:spPr>
          <a:solidFill>
            <a:schemeClr val="accent1"/>
          </a:solidFill>
          <a:ln>
            <a:noFill/>
          </a:ln>
          <a:effectLst>
            <a:outerShdw blurRad="254000" sx="102000" sy="102000" algn="ctr" rotWithShape="0">
              <a:prstClr val="black">
                <a:alpha val="20000"/>
              </a:prstClr>
            </a:outerShdw>
          </a:effectLst>
        </c:spPr>
      </c:pivotFmt>
      <c:pivotFmt>
        <c:idx val="56"/>
        <c:spPr>
          <a:solidFill>
            <a:schemeClr val="accent1"/>
          </a:solidFill>
          <a:ln>
            <a:noFill/>
          </a:ln>
          <a:effectLst>
            <a:outerShdw blurRad="254000" sx="102000" sy="102000" algn="ctr" rotWithShape="0">
              <a:prstClr val="black">
                <a:alpha val="20000"/>
              </a:prstClr>
            </a:outerShdw>
          </a:effectLst>
        </c:spPr>
      </c:pivotFmt>
      <c:pivotFmt>
        <c:idx val="57"/>
        <c:spPr>
          <a:solidFill>
            <a:schemeClr val="accent1"/>
          </a:solidFill>
          <a:ln>
            <a:noFill/>
          </a:ln>
          <a:effectLst>
            <a:outerShdw blurRad="254000" sx="102000" sy="102000" algn="ctr" rotWithShape="0">
              <a:prstClr val="black">
                <a:alpha val="20000"/>
              </a:prstClr>
            </a:outerShdw>
          </a:effectLst>
        </c:spPr>
      </c:pivotFmt>
      <c:pivotFmt>
        <c:idx val="58"/>
        <c:spPr>
          <a:solidFill>
            <a:schemeClr val="accent1"/>
          </a:solidFill>
          <a:ln>
            <a:noFill/>
          </a:ln>
          <a:effectLst>
            <a:outerShdw blurRad="254000" sx="102000" sy="102000" algn="ctr" rotWithShape="0">
              <a:prstClr val="black">
                <a:alpha val="20000"/>
              </a:prstClr>
            </a:outerShdw>
          </a:effectLst>
        </c:spPr>
      </c:pivotFmt>
      <c:pivotFmt>
        <c:idx val="59"/>
        <c:spPr>
          <a:solidFill>
            <a:schemeClr val="accent1"/>
          </a:solidFill>
          <a:ln>
            <a:noFill/>
          </a:ln>
          <a:effectLst>
            <a:outerShdw blurRad="254000" sx="102000" sy="102000" algn="ctr" rotWithShape="0">
              <a:prstClr val="black">
                <a:alpha val="20000"/>
              </a:prstClr>
            </a:outerShdw>
          </a:effectLst>
        </c:spPr>
      </c:pivotFmt>
      <c:pivotFmt>
        <c:idx val="60"/>
        <c:spPr>
          <a:solidFill>
            <a:schemeClr val="accent1"/>
          </a:solidFill>
          <a:ln>
            <a:noFill/>
          </a:ln>
          <a:effectLst>
            <a:outerShdw blurRad="254000" sx="102000" sy="102000" algn="ctr" rotWithShape="0">
              <a:prstClr val="black">
                <a:alpha val="20000"/>
              </a:prstClr>
            </a:outerShdw>
          </a:effectLst>
        </c:spPr>
      </c:pivotFmt>
      <c:pivotFmt>
        <c:idx val="61"/>
        <c:spPr>
          <a:solidFill>
            <a:schemeClr val="accent1"/>
          </a:solidFill>
          <a:ln>
            <a:noFill/>
          </a:ln>
          <a:effectLst>
            <a:outerShdw blurRad="254000" sx="102000" sy="102000" algn="ctr" rotWithShape="0">
              <a:prstClr val="black">
                <a:alpha val="20000"/>
              </a:prstClr>
            </a:outerShdw>
          </a:effectLst>
        </c:spPr>
      </c:pivotFmt>
      <c:pivotFmt>
        <c:idx val="62"/>
        <c:spPr>
          <a:solidFill>
            <a:schemeClr val="accent1"/>
          </a:solidFill>
          <a:ln>
            <a:noFill/>
          </a:ln>
          <a:effectLst>
            <a:outerShdw blurRad="254000" sx="102000" sy="102000" algn="ctr" rotWithShape="0">
              <a:prstClr val="black">
                <a:alpha val="20000"/>
              </a:prstClr>
            </a:outerShdw>
          </a:effectLst>
        </c:spPr>
      </c:pivotFmt>
      <c:pivotFmt>
        <c:idx val="63"/>
        <c:spPr>
          <a:solidFill>
            <a:schemeClr val="accent1"/>
          </a:solidFill>
          <a:ln>
            <a:noFill/>
          </a:ln>
          <a:effectLst>
            <a:outerShdw blurRad="254000" sx="102000" sy="102000" algn="ctr" rotWithShape="0">
              <a:prstClr val="black">
                <a:alpha val="20000"/>
              </a:prstClr>
            </a:outerShdw>
          </a:effectLst>
        </c:spPr>
      </c:pivotFmt>
      <c:pivotFmt>
        <c:idx val="64"/>
        <c:spPr>
          <a:solidFill>
            <a:schemeClr val="accent1"/>
          </a:solidFill>
          <a:ln>
            <a:noFill/>
          </a:ln>
          <a:effectLst>
            <a:outerShdw blurRad="254000" sx="102000" sy="102000" algn="ctr" rotWithShape="0">
              <a:prstClr val="black">
                <a:alpha val="20000"/>
              </a:prstClr>
            </a:outerShdw>
          </a:effectLst>
        </c:spPr>
      </c:pivotFmt>
      <c:pivotFmt>
        <c:idx val="65"/>
        <c:spPr>
          <a:solidFill>
            <a:schemeClr val="accent1"/>
          </a:solidFill>
          <a:ln>
            <a:noFill/>
          </a:ln>
          <a:effectLst>
            <a:outerShdw blurRad="254000" sx="102000" sy="102000" algn="ctr" rotWithShape="0">
              <a:prstClr val="black">
                <a:alpha val="20000"/>
              </a:prstClr>
            </a:outerShdw>
          </a:effectLst>
        </c:spPr>
      </c:pivotFmt>
      <c:pivotFmt>
        <c:idx val="66"/>
        <c:spPr>
          <a:solidFill>
            <a:schemeClr val="accent1"/>
          </a:solidFill>
          <a:ln>
            <a:noFill/>
          </a:ln>
          <a:effectLst>
            <a:outerShdw blurRad="254000" sx="102000" sy="102000" algn="ctr" rotWithShape="0">
              <a:prstClr val="black">
                <a:alpha val="20000"/>
              </a:prstClr>
            </a:outerShdw>
          </a:effectLst>
        </c:spPr>
      </c:pivotFmt>
      <c:pivotFmt>
        <c:idx val="67"/>
        <c:spPr>
          <a:solidFill>
            <a:schemeClr val="accent1"/>
          </a:solidFill>
          <a:ln>
            <a:noFill/>
          </a:ln>
          <a:effectLst>
            <a:outerShdw blurRad="254000" sx="102000" sy="102000" algn="ctr" rotWithShape="0">
              <a:prstClr val="black">
                <a:alpha val="20000"/>
              </a:prstClr>
            </a:outerShdw>
          </a:effectLst>
        </c:spPr>
      </c:pivotFmt>
      <c:pivotFmt>
        <c:idx val="68"/>
        <c:spPr>
          <a:solidFill>
            <a:schemeClr val="accent1"/>
          </a:solidFill>
          <a:ln>
            <a:noFill/>
          </a:ln>
          <a:effectLst>
            <a:outerShdw blurRad="254000" sx="102000" sy="102000" algn="ctr" rotWithShape="0">
              <a:prstClr val="black">
                <a:alpha val="20000"/>
              </a:prstClr>
            </a:outerShdw>
          </a:effectLst>
        </c:spPr>
      </c:pivotFmt>
      <c:pivotFmt>
        <c:idx val="69"/>
        <c:spPr>
          <a:solidFill>
            <a:schemeClr val="accent1"/>
          </a:solidFill>
          <a:ln>
            <a:noFill/>
          </a:ln>
          <a:effectLst>
            <a:outerShdw blurRad="254000" sx="102000" sy="102000" algn="ctr" rotWithShape="0">
              <a:prstClr val="black">
                <a:alpha val="20000"/>
              </a:prstClr>
            </a:outerShdw>
          </a:effectLst>
        </c:spPr>
      </c:pivotFmt>
      <c:pivotFmt>
        <c:idx val="70"/>
        <c:spPr>
          <a:solidFill>
            <a:schemeClr val="accent1"/>
          </a:solidFill>
          <a:ln>
            <a:noFill/>
          </a:ln>
          <a:effectLst>
            <a:outerShdw blurRad="254000" sx="102000" sy="102000" algn="ctr" rotWithShape="0">
              <a:prstClr val="black">
                <a:alpha val="20000"/>
              </a:prstClr>
            </a:outerShdw>
          </a:effectLst>
        </c:spPr>
      </c:pivotFmt>
      <c:pivotFmt>
        <c:idx val="71"/>
        <c:spPr>
          <a:solidFill>
            <a:schemeClr val="accent1"/>
          </a:solidFill>
          <a:ln>
            <a:noFill/>
          </a:ln>
          <a:effectLst>
            <a:outerShdw blurRad="254000" sx="102000" sy="102000" algn="ctr" rotWithShape="0">
              <a:prstClr val="black">
                <a:alpha val="20000"/>
              </a:prstClr>
            </a:outerShdw>
          </a:effectLst>
        </c:spPr>
      </c:pivotFmt>
      <c:pivotFmt>
        <c:idx val="72"/>
        <c:spPr>
          <a:solidFill>
            <a:schemeClr val="accent1"/>
          </a:solidFill>
          <a:ln>
            <a:noFill/>
          </a:ln>
          <a:effectLst>
            <a:outerShdw blurRad="254000" sx="102000" sy="102000" algn="ctr" rotWithShape="0">
              <a:prstClr val="black">
                <a:alpha val="20000"/>
              </a:prstClr>
            </a:outerShdw>
          </a:effectLst>
        </c:spPr>
      </c:pivotFmt>
      <c:pivotFmt>
        <c:idx val="73"/>
        <c:spPr>
          <a:solidFill>
            <a:schemeClr val="accent1"/>
          </a:solidFill>
          <a:ln>
            <a:noFill/>
          </a:ln>
          <a:effectLst>
            <a:outerShdw blurRad="254000" sx="102000" sy="102000" algn="ctr" rotWithShape="0">
              <a:prstClr val="black">
                <a:alpha val="20000"/>
              </a:prstClr>
            </a:outerShdw>
          </a:effectLst>
        </c:spPr>
      </c:pivotFmt>
      <c:pivotFmt>
        <c:idx val="74"/>
        <c:spPr>
          <a:solidFill>
            <a:schemeClr val="accent1"/>
          </a:solidFill>
          <a:ln>
            <a:noFill/>
          </a:ln>
          <a:effectLst>
            <a:outerShdw blurRad="254000" sx="102000" sy="102000" algn="ctr" rotWithShape="0">
              <a:prstClr val="black">
                <a:alpha val="20000"/>
              </a:prstClr>
            </a:outerShdw>
          </a:effectLst>
        </c:spPr>
      </c:pivotFmt>
      <c:pivotFmt>
        <c:idx val="75"/>
        <c:spPr>
          <a:solidFill>
            <a:schemeClr val="accent1"/>
          </a:solidFill>
          <a:ln>
            <a:noFill/>
          </a:ln>
          <a:effectLst>
            <a:outerShdw blurRad="254000" sx="102000" sy="102000" algn="ctr" rotWithShape="0">
              <a:prstClr val="black">
                <a:alpha val="20000"/>
              </a:prstClr>
            </a:outerShdw>
          </a:effectLst>
        </c:spPr>
      </c:pivotFmt>
      <c:pivotFmt>
        <c:idx val="76"/>
        <c:spPr>
          <a:solidFill>
            <a:schemeClr val="accent1"/>
          </a:solidFill>
          <a:ln>
            <a:noFill/>
          </a:ln>
          <a:effectLst>
            <a:outerShdw blurRad="254000" sx="102000" sy="102000" algn="ctr" rotWithShape="0">
              <a:prstClr val="black">
                <a:alpha val="20000"/>
              </a:prstClr>
            </a:outerShdw>
          </a:effectLst>
        </c:spPr>
      </c:pivotFmt>
      <c:pivotFmt>
        <c:idx val="77"/>
        <c:spPr>
          <a:solidFill>
            <a:schemeClr val="accent1"/>
          </a:solidFill>
          <a:ln>
            <a:noFill/>
          </a:ln>
          <a:effectLst>
            <a:outerShdw blurRad="254000" sx="102000" sy="102000" algn="ctr" rotWithShape="0">
              <a:prstClr val="black">
                <a:alpha val="20000"/>
              </a:prstClr>
            </a:outerShdw>
          </a:effectLst>
        </c:spPr>
      </c:pivotFmt>
      <c:pivotFmt>
        <c:idx val="78"/>
        <c:spPr>
          <a:solidFill>
            <a:schemeClr val="accent1"/>
          </a:solidFill>
          <a:ln>
            <a:noFill/>
          </a:ln>
          <a:effectLst>
            <a:outerShdw blurRad="254000" sx="102000" sy="102000" algn="ctr" rotWithShape="0">
              <a:prstClr val="black">
                <a:alpha val="20000"/>
              </a:prstClr>
            </a:outerShdw>
          </a:effectLst>
        </c:spPr>
      </c:pivotFmt>
      <c:pivotFmt>
        <c:idx val="79"/>
        <c:spPr>
          <a:solidFill>
            <a:schemeClr val="accent1"/>
          </a:solidFill>
          <a:ln>
            <a:noFill/>
          </a:ln>
          <a:effectLst>
            <a:outerShdw blurRad="254000" sx="102000" sy="102000" algn="ctr" rotWithShape="0">
              <a:prstClr val="black">
                <a:alpha val="20000"/>
              </a:prstClr>
            </a:outerShdw>
          </a:effectLst>
        </c:spPr>
      </c:pivotFmt>
      <c:pivotFmt>
        <c:idx val="80"/>
        <c:spPr>
          <a:solidFill>
            <a:schemeClr val="accent1"/>
          </a:solidFill>
          <a:ln>
            <a:noFill/>
          </a:ln>
          <a:effectLst>
            <a:outerShdw blurRad="254000" sx="102000" sy="102000" algn="ctr" rotWithShape="0">
              <a:prstClr val="black">
                <a:alpha val="20000"/>
              </a:prstClr>
            </a:outerShdw>
          </a:effectLst>
        </c:spPr>
      </c:pivotFmt>
      <c:pivotFmt>
        <c:idx val="81"/>
        <c:spPr>
          <a:solidFill>
            <a:schemeClr val="accent1"/>
          </a:solidFill>
          <a:ln>
            <a:noFill/>
          </a:ln>
          <a:effectLst>
            <a:outerShdw blurRad="254000" sx="102000" sy="102000" algn="ctr" rotWithShape="0">
              <a:prstClr val="black">
                <a:alpha val="20000"/>
              </a:prstClr>
            </a:outerShdw>
          </a:effectLst>
        </c:spPr>
      </c:pivotFmt>
      <c:pivotFmt>
        <c:idx val="82"/>
        <c:spPr>
          <a:solidFill>
            <a:schemeClr val="accent1"/>
          </a:solidFill>
          <a:ln>
            <a:noFill/>
          </a:ln>
          <a:effectLst>
            <a:outerShdw blurRad="254000" sx="102000" sy="102000" algn="ctr" rotWithShape="0">
              <a:prstClr val="black">
                <a:alpha val="20000"/>
              </a:prstClr>
            </a:outerShdw>
          </a:effectLst>
        </c:spPr>
      </c:pivotFmt>
      <c:pivotFmt>
        <c:idx val="83"/>
        <c:spPr>
          <a:solidFill>
            <a:schemeClr val="accent1"/>
          </a:solidFill>
          <a:ln>
            <a:noFill/>
          </a:ln>
          <a:effectLst>
            <a:outerShdw blurRad="254000" sx="102000" sy="102000" algn="ctr" rotWithShape="0">
              <a:prstClr val="black">
                <a:alpha val="20000"/>
              </a:prstClr>
            </a:outerShdw>
          </a:effectLst>
        </c:spPr>
      </c:pivotFmt>
      <c:pivotFmt>
        <c:idx val="84"/>
        <c:spPr>
          <a:solidFill>
            <a:schemeClr val="accent1"/>
          </a:solidFill>
          <a:ln>
            <a:noFill/>
          </a:ln>
          <a:effectLst>
            <a:outerShdw blurRad="254000" sx="102000" sy="102000" algn="ctr" rotWithShape="0">
              <a:prstClr val="black">
                <a:alpha val="20000"/>
              </a:prstClr>
            </a:outerShdw>
          </a:effectLst>
        </c:spPr>
      </c:pivotFmt>
      <c:pivotFmt>
        <c:idx val="85"/>
        <c:spPr>
          <a:solidFill>
            <a:schemeClr val="accent1"/>
          </a:solidFill>
          <a:ln>
            <a:noFill/>
          </a:ln>
          <a:effectLst>
            <a:outerShdw blurRad="254000" sx="102000" sy="102000" algn="ctr" rotWithShape="0">
              <a:prstClr val="black">
                <a:alpha val="20000"/>
              </a:prstClr>
            </a:outerShdw>
          </a:effectLst>
        </c:spPr>
      </c:pivotFmt>
      <c:pivotFmt>
        <c:idx val="86"/>
        <c:spPr>
          <a:solidFill>
            <a:schemeClr val="accent1"/>
          </a:solidFill>
          <a:ln>
            <a:noFill/>
          </a:ln>
          <a:effectLst>
            <a:outerShdw blurRad="254000" sx="102000" sy="102000" algn="ctr" rotWithShape="0">
              <a:prstClr val="black">
                <a:alpha val="20000"/>
              </a:prstClr>
            </a:outerShdw>
          </a:effectLst>
        </c:spPr>
      </c:pivotFmt>
      <c:pivotFmt>
        <c:idx val="87"/>
        <c:spPr>
          <a:solidFill>
            <a:schemeClr val="accent1"/>
          </a:solidFill>
          <a:ln>
            <a:noFill/>
          </a:ln>
          <a:effectLst>
            <a:outerShdw blurRad="254000" sx="102000" sy="102000" algn="ctr" rotWithShape="0">
              <a:prstClr val="black">
                <a:alpha val="20000"/>
              </a:prstClr>
            </a:outerShdw>
          </a:effectLst>
        </c:spPr>
      </c:pivotFmt>
      <c:pivotFmt>
        <c:idx val="88"/>
        <c:spPr>
          <a:solidFill>
            <a:schemeClr val="accent1"/>
          </a:solidFill>
          <a:ln>
            <a:noFill/>
          </a:ln>
          <a:effectLst>
            <a:outerShdw blurRad="254000" sx="102000" sy="102000" algn="ctr" rotWithShape="0">
              <a:prstClr val="black">
                <a:alpha val="20000"/>
              </a:prstClr>
            </a:outerShdw>
          </a:effectLst>
        </c:spPr>
      </c:pivotFmt>
      <c:pivotFmt>
        <c:idx val="89"/>
        <c:spPr>
          <a:solidFill>
            <a:schemeClr val="accent1"/>
          </a:solidFill>
          <a:ln>
            <a:noFill/>
          </a:ln>
          <a:effectLst>
            <a:outerShdw blurRad="254000" sx="102000" sy="102000" algn="ctr" rotWithShape="0">
              <a:prstClr val="black">
                <a:alpha val="20000"/>
              </a:prstClr>
            </a:outerShdw>
          </a:effectLst>
        </c:spPr>
      </c:pivotFmt>
      <c:pivotFmt>
        <c:idx val="90"/>
        <c:spPr>
          <a:solidFill>
            <a:schemeClr val="accent1"/>
          </a:solidFill>
          <a:ln>
            <a:noFill/>
          </a:ln>
          <a:effectLst>
            <a:outerShdw blurRad="254000" sx="102000" sy="102000" algn="ctr" rotWithShape="0">
              <a:prstClr val="black">
                <a:alpha val="20000"/>
              </a:prstClr>
            </a:outerShdw>
          </a:effectLst>
        </c:spPr>
      </c:pivotFmt>
      <c:pivotFmt>
        <c:idx val="91"/>
        <c:spPr>
          <a:solidFill>
            <a:schemeClr val="accent1"/>
          </a:solidFill>
          <a:ln>
            <a:noFill/>
          </a:ln>
          <a:effectLst>
            <a:outerShdw blurRad="254000" sx="102000" sy="102000" algn="ctr" rotWithShape="0">
              <a:prstClr val="black">
                <a:alpha val="20000"/>
              </a:prstClr>
            </a:outerShdw>
          </a:effectLst>
        </c:spPr>
      </c:pivotFmt>
      <c:pivotFmt>
        <c:idx val="92"/>
        <c:spPr>
          <a:solidFill>
            <a:schemeClr val="accent1"/>
          </a:solidFill>
          <a:ln>
            <a:noFill/>
          </a:ln>
          <a:effectLst>
            <a:outerShdw blurRad="254000" sx="102000" sy="102000" algn="ctr" rotWithShape="0">
              <a:prstClr val="black">
                <a:alpha val="20000"/>
              </a:prstClr>
            </a:outerShdw>
          </a:effectLst>
        </c:spPr>
      </c:pivotFmt>
      <c:pivotFmt>
        <c:idx val="93"/>
        <c:spPr>
          <a:solidFill>
            <a:schemeClr val="accent1"/>
          </a:solidFill>
          <a:ln>
            <a:noFill/>
          </a:ln>
          <a:effectLst>
            <a:outerShdw blurRad="254000" sx="102000" sy="102000" algn="ctr" rotWithShape="0">
              <a:prstClr val="black">
                <a:alpha val="20000"/>
              </a:prstClr>
            </a:outerShdw>
          </a:effectLst>
        </c:spPr>
      </c:pivotFmt>
      <c:pivotFmt>
        <c:idx val="94"/>
        <c:spPr>
          <a:solidFill>
            <a:schemeClr val="accent1"/>
          </a:solidFill>
          <a:ln>
            <a:noFill/>
          </a:ln>
          <a:effectLst>
            <a:outerShdw blurRad="254000" sx="102000" sy="102000" algn="ctr" rotWithShape="0">
              <a:prstClr val="black">
                <a:alpha val="20000"/>
              </a:prstClr>
            </a:outerShdw>
          </a:effectLst>
        </c:spPr>
      </c:pivotFmt>
      <c:pivotFmt>
        <c:idx val="95"/>
        <c:spPr>
          <a:solidFill>
            <a:schemeClr val="accent1"/>
          </a:solidFill>
          <a:ln>
            <a:noFill/>
          </a:ln>
          <a:effectLst>
            <a:outerShdw blurRad="254000" sx="102000" sy="102000" algn="ctr" rotWithShape="0">
              <a:prstClr val="black">
                <a:alpha val="20000"/>
              </a:prstClr>
            </a:outerShdw>
          </a:effectLst>
        </c:spPr>
      </c:pivotFmt>
      <c:pivotFmt>
        <c:idx val="96"/>
        <c:spPr>
          <a:solidFill>
            <a:schemeClr val="accent1"/>
          </a:solidFill>
          <a:ln>
            <a:noFill/>
          </a:ln>
          <a:effectLst>
            <a:outerShdw blurRad="254000" sx="102000" sy="102000" algn="ctr" rotWithShape="0">
              <a:prstClr val="black">
                <a:alpha val="20000"/>
              </a:prstClr>
            </a:outerShdw>
          </a:effectLst>
        </c:spPr>
      </c:pivotFmt>
      <c:pivotFmt>
        <c:idx val="97"/>
        <c:spPr>
          <a:solidFill>
            <a:schemeClr val="accent1"/>
          </a:solidFill>
          <a:ln>
            <a:noFill/>
          </a:ln>
          <a:effectLst>
            <a:outerShdw blurRad="254000" sx="102000" sy="102000" algn="ctr" rotWithShape="0">
              <a:prstClr val="black">
                <a:alpha val="20000"/>
              </a:prstClr>
            </a:outerShdw>
          </a:effectLst>
        </c:spPr>
      </c:pivotFmt>
      <c:pivotFmt>
        <c:idx val="98"/>
        <c:spPr>
          <a:solidFill>
            <a:schemeClr val="accent1"/>
          </a:solidFill>
          <a:ln>
            <a:noFill/>
          </a:ln>
          <a:effectLst>
            <a:outerShdw blurRad="254000" sx="102000" sy="102000" algn="ctr" rotWithShape="0">
              <a:prstClr val="black">
                <a:alpha val="20000"/>
              </a:prstClr>
            </a:outerShdw>
          </a:effectLst>
        </c:spPr>
      </c:pivotFmt>
      <c:pivotFmt>
        <c:idx val="99"/>
        <c:spPr>
          <a:solidFill>
            <a:schemeClr val="accent1"/>
          </a:solidFill>
          <a:ln>
            <a:noFill/>
          </a:ln>
          <a:effectLst>
            <a:outerShdw blurRad="254000" sx="102000" sy="102000" algn="ctr" rotWithShape="0">
              <a:prstClr val="black">
                <a:alpha val="20000"/>
              </a:prstClr>
            </a:outerShdw>
          </a:effectLst>
        </c:spPr>
      </c:pivotFmt>
      <c:pivotFmt>
        <c:idx val="100"/>
        <c:spPr>
          <a:solidFill>
            <a:schemeClr val="accent1"/>
          </a:solidFill>
          <a:ln>
            <a:noFill/>
          </a:ln>
          <a:effectLst>
            <a:outerShdw blurRad="254000" sx="102000" sy="102000" algn="ctr" rotWithShape="0">
              <a:prstClr val="black">
                <a:alpha val="20000"/>
              </a:prstClr>
            </a:outerShdw>
          </a:effectLst>
        </c:spPr>
      </c:pivotFmt>
      <c:pivotFmt>
        <c:idx val="101"/>
        <c:spPr>
          <a:solidFill>
            <a:schemeClr val="accent1"/>
          </a:solidFill>
          <a:ln>
            <a:noFill/>
          </a:ln>
          <a:effectLst>
            <a:outerShdw blurRad="254000" sx="102000" sy="102000" algn="ctr" rotWithShape="0">
              <a:prstClr val="black">
                <a:alpha val="20000"/>
              </a:prstClr>
            </a:outerShdw>
          </a:effectLst>
        </c:spPr>
      </c:pivotFmt>
      <c:pivotFmt>
        <c:idx val="102"/>
        <c:spPr>
          <a:solidFill>
            <a:schemeClr val="accent1"/>
          </a:solidFill>
          <a:ln>
            <a:noFill/>
          </a:ln>
          <a:effectLst>
            <a:outerShdw blurRad="254000" sx="102000" sy="102000" algn="ctr" rotWithShape="0">
              <a:prstClr val="black">
                <a:alpha val="20000"/>
              </a:prstClr>
            </a:outerShdw>
          </a:effectLst>
        </c:spPr>
      </c:pivotFmt>
      <c:pivotFmt>
        <c:idx val="103"/>
        <c:spPr>
          <a:solidFill>
            <a:schemeClr val="accent1"/>
          </a:solidFill>
          <a:ln>
            <a:noFill/>
          </a:ln>
          <a:effectLst>
            <a:outerShdw blurRad="254000" sx="102000" sy="102000" algn="ctr" rotWithShape="0">
              <a:prstClr val="black">
                <a:alpha val="20000"/>
              </a:prstClr>
            </a:outerShdw>
          </a:effectLst>
        </c:spPr>
      </c:pivotFmt>
      <c:pivotFmt>
        <c:idx val="104"/>
        <c:spPr>
          <a:solidFill>
            <a:schemeClr val="accent1"/>
          </a:solidFill>
          <a:ln>
            <a:noFill/>
          </a:ln>
          <a:effectLst>
            <a:outerShdw blurRad="254000" sx="102000" sy="102000" algn="ctr" rotWithShape="0">
              <a:prstClr val="black">
                <a:alpha val="20000"/>
              </a:prstClr>
            </a:outerShdw>
          </a:effectLst>
        </c:spPr>
      </c:pivotFmt>
      <c:pivotFmt>
        <c:idx val="105"/>
        <c:spPr>
          <a:solidFill>
            <a:schemeClr val="accent1"/>
          </a:solidFill>
          <a:ln>
            <a:noFill/>
          </a:ln>
          <a:effectLst>
            <a:outerShdw blurRad="254000" sx="102000" sy="102000" algn="ctr" rotWithShape="0">
              <a:prstClr val="black">
                <a:alpha val="20000"/>
              </a:prstClr>
            </a:outerShdw>
          </a:effectLst>
        </c:spPr>
      </c:pivotFmt>
      <c:pivotFmt>
        <c:idx val="106"/>
        <c:spPr>
          <a:solidFill>
            <a:schemeClr val="accent1"/>
          </a:solidFill>
          <a:ln>
            <a:noFill/>
          </a:ln>
          <a:effectLst>
            <a:outerShdw blurRad="254000" sx="102000" sy="102000" algn="ctr" rotWithShape="0">
              <a:prstClr val="black">
                <a:alpha val="20000"/>
              </a:prstClr>
            </a:outerShdw>
          </a:effectLst>
        </c:spPr>
      </c:pivotFmt>
      <c:pivotFmt>
        <c:idx val="107"/>
        <c:spPr>
          <a:solidFill>
            <a:schemeClr val="accent1"/>
          </a:solidFill>
          <a:ln>
            <a:noFill/>
          </a:ln>
          <a:effectLst>
            <a:outerShdw blurRad="254000" sx="102000" sy="102000" algn="ctr" rotWithShape="0">
              <a:prstClr val="black">
                <a:alpha val="20000"/>
              </a:prstClr>
            </a:outerShdw>
          </a:effectLst>
        </c:spPr>
      </c:pivotFmt>
      <c:pivotFmt>
        <c:idx val="108"/>
        <c:spPr>
          <a:solidFill>
            <a:schemeClr val="accent1"/>
          </a:solidFill>
          <a:ln>
            <a:noFill/>
          </a:ln>
          <a:effectLst>
            <a:outerShdw blurRad="254000" sx="102000" sy="102000" algn="ctr" rotWithShape="0">
              <a:prstClr val="black">
                <a:alpha val="20000"/>
              </a:prstClr>
            </a:outerShdw>
          </a:effectLst>
        </c:spPr>
      </c:pivotFmt>
      <c:pivotFmt>
        <c:idx val="109"/>
        <c:spPr>
          <a:solidFill>
            <a:schemeClr val="accent1"/>
          </a:solidFill>
          <a:ln>
            <a:noFill/>
          </a:ln>
          <a:effectLst>
            <a:outerShdw blurRad="254000" sx="102000" sy="102000" algn="ctr" rotWithShape="0">
              <a:prstClr val="black">
                <a:alpha val="20000"/>
              </a:prstClr>
            </a:outerShdw>
          </a:effectLst>
        </c:spPr>
      </c:pivotFmt>
      <c:pivotFmt>
        <c:idx val="110"/>
        <c:spPr>
          <a:solidFill>
            <a:schemeClr val="accent1"/>
          </a:solidFill>
          <a:ln>
            <a:noFill/>
          </a:ln>
          <a:effectLst>
            <a:outerShdw blurRad="254000" sx="102000" sy="102000" algn="ctr" rotWithShape="0">
              <a:prstClr val="black">
                <a:alpha val="20000"/>
              </a:prstClr>
            </a:outerShdw>
          </a:effectLst>
        </c:spPr>
      </c:pivotFmt>
      <c:pivotFmt>
        <c:idx val="111"/>
        <c:spPr>
          <a:solidFill>
            <a:schemeClr val="accent1"/>
          </a:solidFill>
          <a:ln>
            <a:noFill/>
          </a:ln>
          <a:effectLst>
            <a:outerShdw blurRad="254000" sx="102000" sy="102000" algn="ctr" rotWithShape="0">
              <a:prstClr val="black">
                <a:alpha val="20000"/>
              </a:prstClr>
            </a:outerShdw>
          </a:effectLst>
        </c:spPr>
      </c:pivotFmt>
      <c:pivotFmt>
        <c:idx val="112"/>
        <c:spPr>
          <a:solidFill>
            <a:schemeClr val="accent1"/>
          </a:solidFill>
          <a:ln>
            <a:noFill/>
          </a:ln>
          <a:effectLst>
            <a:outerShdw blurRad="254000" sx="102000" sy="102000" algn="ctr" rotWithShape="0">
              <a:prstClr val="black">
                <a:alpha val="20000"/>
              </a:prstClr>
            </a:outerShdw>
          </a:effectLst>
        </c:spPr>
      </c:pivotFmt>
      <c:pivotFmt>
        <c:idx val="113"/>
        <c:spPr>
          <a:solidFill>
            <a:schemeClr val="accent1"/>
          </a:solidFill>
          <a:ln>
            <a:noFill/>
          </a:ln>
          <a:effectLst>
            <a:outerShdw blurRad="254000" sx="102000" sy="102000" algn="ctr" rotWithShape="0">
              <a:prstClr val="black">
                <a:alpha val="20000"/>
              </a:prstClr>
            </a:outerShdw>
          </a:effectLst>
        </c:spPr>
      </c:pivotFmt>
      <c:pivotFmt>
        <c:idx val="114"/>
        <c:spPr>
          <a:solidFill>
            <a:schemeClr val="accent1"/>
          </a:solidFill>
          <a:ln>
            <a:noFill/>
          </a:ln>
          <a:effectLst>
            <a:outerShdw blurRad="254000" sx="102000" sy="102000" algn="ctr" rotWithShape="0">
              <a:prstClr val="black">
                <a:alpha val="20000"/>
              </a:prstClr>
            </a:outerShdw>
          </a:effectLst>
        </c:spPr>
      </c:pivotFmt>
      <c:pivotFmt>
        <c:idx val="115"/>
        <c:spPr>
          <a:solidFill>
            <a:schemeClr val="accent1"/>
          </a:solidFill>
          <a:ln>
            <a:noFill/>
          </a:ln>
          <a:effectLst>
            <a:outerShdw blurRad="254000" sx="102000" sy="102000" algn="ctr" rotWithShape="0">
              <a:prstClr val="black">
                <a:alpha val="20000"/>
              </a:prstClr>
            </a:outerShdw>
          </a:effectLst>
        </c:spPr>
      </c:pivotFmt>
      <c:pivotFmt>
        <c:idx val="116"/>
        <c:spPr>
          <a:solidFill>
            <a:schemeClr val="accent1"/>
          </a:solidFill>
          <a:ln>
            <a:noFill/>
          </a:ln>
          <a:effectLst>
            <a:outerShdw blurRad="254000" sx="102000" sy="102000" algn="ctr" rotWithShape="0">
              <a:prstClr val="black">
                <a:alpha val="20000"/>
              </a:prstClr>
            </a:outerShdw>
          </a:effectLst>
        </c:spPr>
      </c:pivotFmt>
      <c:pivotFmt>
        <c:idx val="117"/>
        <c:spPr>
          <a:solidFill>
            <a:schemeClr val="accent1"/>
          </a:solidFill>
          <a:ln>
            <a:noFill/>
          </a:ln>
          <a:effectLst>
            <a:outerShdw blurRad="254000" sx="102000" sy="102000" algn="ctr" rotWithShape="0">
              <a:prstClr val="black">
                <a:alpha val="20000"/>
              </a:prstClr>
            </a:outerShdw>
          </a:effectLst>
        </c:spPr>
      </c:pivotFmt>
      <c:pivotFmt>
        <c:idx val="118"/>
        <c:spPr>
          <a:solidFill>
            <a:schemeClr val="accent1"/>
          </a:solidFill>
          <a:ln>
            <a:noFill/>
          </a:ln>
          <a:effectLst>
            <a:outerShdw blurRad="254000" sx="102000" sy="102000" algn="ctr" rotWithShape="0">
              <a:prstClr val="black">
                <a:alpha val="20000"/>
              </a:prstClr>
            </a:outerShdw>
          </a:effectLst>
        </c:spPr>
      </c:pivotFmt>
      <c:pivotFmt>
        <c:idx val="119"/>
        <c:spPr>
          <a:solidFill>
            <a:schemeClr val="accent1"/>
          </a:solidFill>
          <a:ln>
            <a:noFill/>
          </a:ln>
          <a:effectLst>
            <a:outerShdw blurRad="254000" sx="102000" sy="102000" algn="ctr" rotWithShape="0">
              <a:prstClr val="black">
                <a:alpha val="20000"/>
              </a:prstClr>
            </a:outerShdw>
          </a:effectLst>
        </c:spPr>
      </c:pivotFmt>
      <c:pivotFmt>
        <c:idx val="120"/>
        <c:spPr>
          <a:solidFill>
            <a:schemeClr val="accent1"/>
          </a:solidFill>
          <a:ln>
            <a:noFill/>
          </a:ln>
          <a:effectLst>
            <a:outerShdw blurRad="254000" sx="102000" sy="102000" algn="ctr" rotWithShape="0">
              <a:prstClr val="black">
                <a:alpha val="20000"/>
              </a:prstClr>
            </a:outerShdw>
          </a:effectLst>
        </c:spPr>
      </c:pivotFmt>
      <c:pivotFmt>
        <c:idx val="121"/>
        <c:spPr>
          <a:solidFill>
            <a:schemeClr val="accent1"/>
          </a:solidFill>
          <a:ln>
            <a:noFill/>
          </a:ln>
          <a:effectLst>
            <a:outerShdw blurRad="254000" sx="102000" sy="102000" algn="ctr" rotWithShape="0">
              <a:prstClr val="black">
                <a:alpha val="20000"/>
              </a:prstClr>
            </a:outerShdw>
          </a:effectLst>
        </c:spPr>
      </c:pivotFmt>
      <c:pivotFmt>
        <c:idx val="122"/>
        <c:spPr>
          <a:solidFill>
            <a:schemeClr val="accent1"/>
          </a:solidFill>
          <a:ln>
            <a:noFill/>
          </a:ln>
          <a:effectLst>
            <a:outerShdw blurRad="254000" sx="102000" sy="102000" algn="ctr" rotWithShape="0">
              <a:prstClr val="black">
                <a:alpha val="20000"/>
              </a:prstClr>
            </a:outerShdw>
          </a:effectLst>
        </c:spPr>
      </c:pivotFmt>
      <c:pivotFmt>
        <c:idx val="123"/>
        <c:spPr>
          <a:solidFill>
            <a:schemeClr val="accent1"/>
          </a:solidFill>
          <a:ln>
            <a:noFill/>
          </a:ln>
          <a:effectLst>
            <a:outerShdw blurRad="254000" sx="102000" sy="102000" algn="ctr" rotWithShape="0">
              <a:prstClr val="black">
                <a:alpha val="20000"/>
              </a:prstClr>
            </a:outerShdw>
          </a:effectLst>
        </c:spPr>
      </c:pivotFmt>
      <c:pivotFmt>
        <c:idx val="124"/>
        <c:spPr>
          <a:solidFill>
            <a:schemeClr val="accent1"/>
          </a:solidFill>
          <a:ln>
            <a:noFill/>
          </a:ln>
          <a:effectLst>
            <a:outerShdw blurRad="254000" sx="102000" sy="102000" algn="ctr" rotWithShape="0">
              <a:prstClr val="black">
                <a:alpha val="20000"/>
              </a:prstClr>
            </a:outerShdw>
          </a:effectLst>
        </c:spPr>
      </c:pivotFmt>
      <c:pivotFmt>
        <c:idx val="125"/>
        <c:spPr>
          <a:solidFill>
            <a:schemeClr val="accent1"/>
          </a:solidFill>
          <a:ln>
            <a:noFill/>
          </a:ln>
          <a:effectLst>
            <a:outerShdw blurRad="254000" sx="102000" sy="102000" algn="ctr" rotWithShape="0">
              <a:prstClr val="black">
                <a:alpha val="20000"/>
              </a:prstClr>
            </a:outerShdw>
          </a:effectLst>
        </c:spPr>
      </c:pivotFmt>
      <c:pivotFmt>
        <c:idx val="126"/>
        <c:spPr>
          <a:solidFill>
            <a:schemeClr val="accent1"/>
          </a:solidFill>
          <a:ln>
            <a:noFill/>
          </a:ln>
          <a:effectLst>
            <a:outerShdw blurRad="254000" sx="102000" sy="102000" algn="ctr" rotWithShape="0">
              <a:prstClr val="black">
                <a:alpha val="20000"/>
              </a:prstClr>
            </a:outerShdw>
          </a:effectLst>
        </c:spPr>
      </c:pivotFmt>
      <c:pivotFmt>
        <c:idx val="127"/>
        <c:spPr>
          <a:solidFill>
            <a:schemeClr val="accent1"/>
          </a:solidFill>
          <a:ln>
            <a:noFill/>
          </a:ln>
          <a:effectLst>
            <a:outerShdw blurRad="254000" sx="102000" sy="102000" algn="ctr" rotWithShape="0">
              <a:prstClr val="black">
                <a:alpha val="20000"/>
              </a:prstClr>
            </a:outerShdw>
          </a:effectLst>
        </c:spPr>
      </c:pivotFmt>
      <c:pivotFmt>
        <c:idx val="128"/>
        <c:spPr>
          <a:solidFill>
            <a:schemeClr val="accent1"/>
          </a:solidFill>
          <a:ln>
            <a:noFill/>
          </a:ln>
          <a:effectLst>
            <a:outerShdw blurRad="254000" sx="102000" sy="102000" algn="ctr" rotWithShape="0">
              <a:prstClr val="black">
                <a:alpha val="20000"/>
              </a:prstClr>
            </a:outerShdw>
          </a:effectLst>
        </c:spPr>
      </c:pivotFmt>
      <c:pivotFmt>
        <c:idx val="129"/>
        <c:spPr>
          <a:solidFill>
            <a:schemeClr val="accent1"/>
          </a:solidFill>
          <a:ln>
            <a:noFill/>
          </a:ln>
          <a:effectLst>
            <a:outerShdw blurRad="254000" sx="102000" sy="102000" algn="ctr" rotWithShape="0">
              <a:prstClr val="black">
                <a:alpha val="20000"/>
              </a:prstClr>
            </a:outerShdw>
          </a:effectLst>
        </c:spPr>
      </c:pivotFmt>
      <c:pivotFmt>
        <c:idx val="130"/>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7045442141517551"/>
          <c:y val="6.5166555597785919E-2"/>
          <c:w val="0.44501576222061112"/>
          <c:h val="0.90198144762194699"/>
        </c:manualLayout>
      </c:layout>
      <c:doughnutChart>
        <c:varyColors val="1"/>
        <c:ser>
          <c:idx val="0"/>
          <c:order val="0"/>
          <c:tx>
            <c:strRef>
              <c:f>Backend_1!$F$18:$F$19</c:f>
              <c:strCache>
                <c:ptCount val="1"/>
                <c:pt idx="0">
                  <c:v>Yes</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611-49E9-BB02-9EE14EE52C5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611-49E9-BB02-9EE14EE52C5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611-49E9-BB02-9EE14EE52C54}"/>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7611-49E9-BB02-9EE14EE52C54}"/>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7611-49E9-BB02-9EE14EE52C54}"/>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7611-49E9-BB02-9EE14EE52C54}"/>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7611-49E9-BB02-9EE14EE52C54}"/>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7611-49E9-BB02-9EE14EE52C54}"/>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7611-49E9-BB02-9EE14EE52C54}"/>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7611-49E9-BB02-9EE14EE52C54}"/>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B1B8-446B-88E7-50C39EFC14BD}"/>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B1B8-446B-88E7-50C39EFC14BD}"/>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B1B8-446B-88E7-50C39EFC14BD}"/>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B-B1B8-446B-88E7-50C39EFC14BD}"/>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D-B1B8-446B-88E7-50C39EFC14BD}"/>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F-B1B8-446B-88E7-50C39EFC14BD}"/>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1-B1B8-446B-88E7-50C39EFC14BD}"/>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3-B1B8-446B-88E7-50C39EFC14BD}"/>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5-B1B8-446B-88E7-50C39EFC14BD}"/>
              </c:ext>
            </c:extLst>
          </c:dPt>
          <c:dPt>
            <c:idx val="19"/>
            <c:bubble3D val="0"/>
            <c:spPr>
              <a:solidFill>
                <a:schemeClr val="accent2">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7-B1B8-446B-88E7-50C39EFC14BD}"/>
              </c:ext>
            </c:extLst>
          </c:dPt>
          <c:dPt>
            <c:idx val="20"/>
            <c:bubble3D val="0"/>
            <c:spPr>
              <a:solidFill>
                <a:schemeClr val="accent3">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9-B1B8-446B-88E7-50C39EFC14BD}"/>
              </c:ext>
            </c:extLst>
          </c:dPt>
          <c:dPt>
            <c:idx val="21"/>
            <c:bubble3D val="0"/>
            <c:spPr>
              <a:solidFill>
                <a:schemeClr val="accent4">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B-B1B8-446B-88E7-50C39EFC14BD}"/>
              </c:ext>
            </c:extLst>
          </c:dPt>
          <c:dPt>
            <c:idx val="22"/>
            <c:bubble3D val="0"/>
            <c:spPr>
              <a:solidFill>
                <a:schemeClr val="accent5">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D-B1B8-446B-88E7-50C39EFC14BD}"/>
              </c:ext>
            </c:extLst>
          </c:dPt>
          <c:dPt>
            <c:idx val="23"/>
            <c:bubble3D val="0"/>
            <c:spPr>
              <a:solidFill>
                <a:schemeClr val="accent6">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F-B1B8-446B-88E7-50C39EFC14BD}"/>
              </c:ext>
            </c:extLst>
          </c:dPt>
          <c:dPt>
            <c:idx val="24"/>
            <c:bubble3D val="0"/>
            <c:spPr>
              <a:solidFill>
                <a:schemeClr val="accent1">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1-B1B8-446B-88E7-50C39EFC14BD}"/>
              </c:ext>
            </c:extLst>
          </c:dPt>
          <c:dPt>
            <c:idx val="25"/>
            <c:bubble3D val="0"/>
            <c:spPr>
              <a:solidFill>
                <a:schemeClr val="accent2">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3-B1B8-446B-88E7-50C39EFC14BD}"/>
              </c:ext>
            </c:extLst>
          </c:dPt>
          <c:dPt>
            <c:idx val="26"/>
            <c:bubble3D val="0"/>
            <c:spPr>
              <a:solidFill>
                <a:schemeClr val="accent3">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5-B1B8-446B-88E7-50C39EFC14BD}"/>
              </c:ext>
            </c:extLst>
          </c:dPt>
          <c:dPt>
            <c:idx val="27"/>
            <c:bubble3D val="0"/>
            <c:spPr>
              <a:solidFill>
                <a:schemeClr val="accent4">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7-B1B8-446B-88E7-50C39EFC14BD}"/>
              </c:ext>
            </c:extLst>
          </c:dPt>
          <c:dPt>
            <c:idx val="28"/>
            <c:bubble3D val="0"/>
            <c:spPr>
              <a:solidFill>
                <a:schemeClr val="accent5">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9-B1B8-446B-88E7-50C39EFC14BD}"/>
              </c:ext>
            </c:extLst>
          </c:dPt>
          <c:dPt>
            <c:idx val="29"/>
            <c:bubble3D val="0"/>
            <c:spPr>
              <a:solidFill>
                <a:schemeClr val="accent6">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B-B1B8-446B-88E7-50C39EFC14BD}"/>
              </c:ext>
            </c:extLst>
          </c:dPt>
          <c:dPt>
            <c:idx val="30"/>
            <c:bubble3D val="0"/>
            <c:spPr>
              <a:solidFill>
                <a:schemeClr val="accent1">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D-B1B8-446B-88E7-50C39EFC14BD}"/>
              </c:ext>
            </c:extLst>
          </c:dPt>
          <c:dPt>
            <c:idx val="31"/>
            <c:bubble3D val="0"/>
            <c:spPr>
              <a:solidFill>
                <a:schemeClr val="accent2">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F-B1B8-446B-88E7-50C39EFC14BD}"/>
              </c:ext>
            </c:extLst>
          </c:dPt>
          <c:dPt>
            <c:idx val="32"/>
            <c:bubble3D val="0"/>
            <c:spPr>
              <a:solidFill>
                <a:schemeClr val="accent3">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1-B1B8-446B-88E7-50C39EFC14BD}"/>
              </c:ext>
            </c:extLst>
          </c:dPt>
          <c:dPt>
            <c:idx val="33"/>
            <c:bubble3D val="0"/>
            <c:spPr>
              <a:solidFill>
                <a:schemeClr val="accent4">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3-B1B8-446B-88E7-50C39EFC14BD}"/>
              </c:ext>
            </c:extLst>
          </c:dPt>
          <c:dPt>
            <c:idx val="34"/>
            <c:bubble3D val="0"/>
            <c:spPr>
              <a:solidFill>
                <a:schemeClr val="accent5">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5-B1B8-446B-88E7-50C39EFC14BD}"/>
              </c:ext>
            </c:extLst>
          </c:dPt>
          <c:dPt>
            <c:idx val="35"/>
            <c:bubble3D val="0"/>
            <c:spPr>
              <a:solidFill>
                <a:schemeClr val="accent6">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7-B1B8-446B-88E7-50C39EFC14BD}"/>
              </c:ext>
            </c:extLst>
          </c:dPt>
          <c:dPt>
            <c:idx val="36"/>
            <c:bubble3D val="0"/>
            <c:spPr>
              <a:solidFill>
                <a:schemeClr val="accent1">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9-B1B8-446B-88E7-50C39EFC14BD}"/>
              </c:ext>
            </c:extLst>
          </c:dPt>
          <c:dPt>
            <c:idx val="37"/>
            <c:bubble3D val="0"/>
            <c:spPr>
              <a:solidFill>
                <a:schemeClr val="accent2">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B-B1B8-446B-88E7-50C39EFC14BD}"/>
              </c:ext>
            </c:extLst>
          </c:dPt>
          <c:dPt>
            <c:idx val="38"/>
            <c:bubble3D val="0"/>
            <c:spPr>
              <a:solidFill>
                <a:schemeClr val="accent3">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D-B1B8-446B-88E7-50C39EFC14BD}"/>
              </c:ext>
            </c:extLst>
          </c:dPt>
          <c:dPt>
            <c:idx val="39"/>
            <c:bubble3D val="0"/>
            <c:spPr>
              <a:solidFill>
                <a:schemeClr val="accent4">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F-B1B8-446B-88E7-50C39EFC14BD}"/>
              </c:ext>
            </c:extLst>
          </c:dPt>
          <c:dPt>
            <c:idx val="40"/>
            <c:bubble3D val="0"/>
            <c:spPr>
              <a:solidFill>
                <a:schemeClr val="accent5">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1-B1B8-446B-88E7-50C39EFC14BD}"/>
              </c:ext>
            </c:extLst>
          </c:dPt>
          <c:dPt>
            <c:idx val="41"/>
            <c:bubble3D val="0"/>
            <c:spPr>
              <a:solidFill>
                <a:schemeClr val="accent6">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3-B1B8-446B-88E7-50C39EFC14BD}"/>
              </c:ext>
            </c:extLst>
          </c:dPt>
          <c:dPt>
            <c:idx val="42"/>
            <c:bubble3D val="0"/>
            <c:spPr>
              <a:solidFill>
                <a:schemeClr val="accent1">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5-B1B8-446B-88E7-50C39EFC14BD}"/>
              </c:ext>
            </c:extLst>
          </c:dPt>
          <c:dPt>
            <c:idx val="43"/>
            <c:bubble3D val="0"/>
            <c:spPr>
              <a:solidFill>
                <a:schemeClr val="accent2">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7-B1B8-446B-88E7-50C39EFC14BD}"/>
              </c:ext>
            </c:extLst>
          </c:dPt>
          <c:dPt>
            <c:idx val="44"/>
            <c:bubble3D val="0"/>
            <c:spPr>
              <a:solidFill>
                <a:schemeClr val="accent3">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9-B1B8-446B-88E7-50C39EFC14BD}"/>
              </c:ext>
            </c:extLst>
          </c:dPt>
          <c:dPt>
            <c:idx val="45"/>
            <c:bubble3D val="0"/>
            <c:spPr>
              <a:solidFill>
                <a:schemeClr val="accent4">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B-B1B8-446B-88E7-50C39EFC14BD}"/>
              </c:ext>
            </c:extLst>
          </c:dPt>
          <c:dPt>
            <c:idx val="46"/>
            <c:bubble3D val="0"/>
            <c:spPr>
              <a:solidFill>
                <a:schemeClr val="accent5">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D-B1B8-446B-88E7-50C39EFC14BD}"/>
              </c:ext>
            </c:extLst>
          </c:dPt>
          <c:dPt>
            <c:idx val="47"/>
            <c:bubble3D val="0"/>
            <c:spPr>
              <a:solidFill>
                <a:schemeClr val="accent6">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F-B1B8-446B-88E7-50C39EFC14BD}"/>
              </c:ext>
            </c:extLst>
          </c:dPt>
          <c:dPt>
            <c:idx val="48"/>
            <c:bubble3D val="0"/>
            <c:spPr>
              <a:solidFill>
                <a:schemeClr val="accent1">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1-B1B8-446B-88E7-50C39EFC14BD}"/>
              </c:ext>
            </c:extLst>
          </c:dPt>
          <c:dPt>
            <c:idx val="49"/>
            <c:bubble3D val="0"/>
            <c:spPr>
              <a:solidFill>
                <a:schemeClr val="accent2">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3-B1B8-446B-88E7-50C39EFC14BD}"/>
              </c:ext>
            </c:extLst>
          </c:dPt>
          <c:dPt>
            <c:idx val="50"/>
            <c:bubble3D val="0"/>
            <c:spPr>
              <a:solidFill>
                <a:schemeClr val="accent3">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5-B1B8-446B-88E7-50C39EFC14BD}"/>
              </c:ext>
            </c:extLst>
          </c:dPt>
          <c:dPt>
            <c:idx val="51"/>
            <c:bubble3D val="0"/>
            <c:spPr>
              <a:solidFill>
                <a:schemeClr val="accent4">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7-B1B8-446B-88E7-50C39EFC14BD}"/>
              </c:ext>
            </c:extLst>
          </c:dPt>
          <c:dPt>
            <c:idx val="52"/>
            <c:bubble3D val="0"/>
            <c:spPr>
              <a:solidFill>
                <a:schemeClr val="accent5">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9-B1B8-446B-88E7-50C39EFC14BD}"/>
              </c:ext>
            </c:extLst>
          </c:dPt>
          <c:dPt>
            <c:idx val="53"/>
            <c:bubble3D val="0"/>
            <c:spPr>
              <a:solidFill>
                <a:schemeClr val="accent6">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B-B1B8-446B-88E7-50C39EFC14BD}"/>
              </c:ext>
            </c:extLst>
          </c:dPt>
          <c:dPt>
            <c:idx val="54"/>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D-B1B8-446B-88E7-50C39EFC14BD}"/>
              </c:ext>
            </c:extLst>
          </c:dPt>
          <c:dPt>
            <c:idx val="55"/>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F-B1B8-446B-88E7-50C39EFC14BD}"/>
              </c:ext>
            </c:extLst>
          </c:dPt>
          <c:dPt>
            <c:idx val="56"/>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1-B1B8-446B-88E7-50C39EFC14BD}"/>
              </c:ext>
            </c:extLst>
          </c:dPt>
          <c:dPt>
            <c:idx val="57"/>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3-B1B8-446B-88E7-50C39EFC14BD}"/>
              </c:ext>
            </c:extLst>
          </c:dPt>
          <c:dPt>
            <c:idx val="58"/>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5-B1B8-446B-88E7-50C39EFC14BD}"/>
              </c:ext>
            </c:extLst>
          </c:dPt>
          <c:dPt>
            <c:idx val="59"/>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7-B1B8-446B-88E7-50C39EFC14BD}"/>
              </c:ext>
            </c:extLst>
          </c:dPt>
          <c:dPt>
            <c:idx val="60"/>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9-B1B8-446B-88E7-50C39EFC14BD}"/>
              </c:ext>
            </c:extLst>
          </c:dPt>
          <c:dPt>
            <c:idx val="61"/>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B-B1B8-446B-88E7-50C39EFC14BD}"/>
              </c:ext>
            </c:extLst>
          </c:dPt>
          <c:dPt>
            <c:idx val="62"/>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D-B1B8-446B-88E7-50C39EFC14BD}"/>
              </c:ext>
            </c:extLst>
          </c:dPt>
          <c:dPt>
            <c:idx val="63"/>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F-B1B8-446B-88E7-50C39EFC14BD}"/>
              </c:ext>
            </c:extLst>
          </c:dPt>
          <c:dPt>
            <c:idx val="64"/>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1-B1B8-446B-88E7-50C39EFC14BD}"/>
              </c:ext>
            </c:extLst>
          </c:dPt>
          <c:dPt>
            <c:idx val="65"/>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3-B1B8-446B-88E7-50C39EFC14BD}"/>
              </c:ext>
            </c:extLst>
          </c:dPt>
          <c:dPt>
            <c:idx val="66"/>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5-B1B8-446B-88E7-50C39EFC14BD}"/>
              </c:ext>
            </c:extLst>
          </c:dPt>
          <c:dPt>
            <c:idx val="67"/>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7-B1B8-446B-88E7-50C39EFC14BD}"/>
              </c:ext>
            </c:extLst>
          </c:dPt>
          <c:dPt>
            <c:idx val="68"/>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9-B1B8-446B-88E7-50C39EFC14BD}"/>
              </c:ext>
            </c:extLst>
          </c:dPt>
          <c:dPt>
            <c:idx val="69"/>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B-B1B8-446B-88E7-50C39EFC14BD}"/>
              </c:ext>
            </c:extLst>
          </c:dPt>
          <c:dPt>
            <c:idx val="70"/>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D-B1B8-446B-88E7-50C39EFC14BD}"/>
              </c:ext>
            </c:extLst>
          </c:dPt>
          <c:dPt>
            <c:idx val="71"/>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F-B1B8-446B-88E7-50C39EFC14BD}"/>
              </c:ext>
            </c:extLst>
          </c:dPt>
          <c:dPt>
            <c:idx val="72"/>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1-B1B8-446B-88E7-50C39EFC14BD}"/>
              </c:ext>
            </c:extLst>
          </c:dPt>
          <c:dPt>
            <c:idx val="73"/>
            <c:bubble3D val="0"/>
            <c:spPr>
              <a:solidFill>
                <a:schemeClr val="accent2">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3-B1B8-446B-88E7-50C39EFC14BD}"/>
              </c:ext>
            </c:extLst>
          </c:dPt>
          <c:dPt>
            <c:idx val="74"/>
            <c:bubble3D val="0"/>
            <c:spPr>
              <a:solidFill>
                <a:schemeClr val="accent3">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5-B1B8-446B-88E7-50C39EFC14BD}"/>
              </c:ext>
            </c:extLst>
          </c:dPt>
          <c:dPt>
            <c:idx val="75"/>
            <c:bubble3D val="0"/>
            <c:spPr>
              <a:solidFill>
                <a:schemeClr val="accent4">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7-B1B8-446B-88E7-50C39EFC14BD}"/>
              </c:ext>
            </c:extLst>
          </c:dPt>
          <c:dPt>
            <c:idx val="76"/>
            <c:bubble3D val="0"/>
            <c:spPr>
              <a:solidFill>
                <a:schemeClr val="accent5">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9-B1B8-446B-88E7-50C39EFC14BD}"/>
              </c:ext>
            </c:extLst>
          </c:dPt>
          <c:dPt>
            <c:idx val="77"/>
            <c:bubble3D val="0"/>
            <c:spPr>
              <a:solidFill>
                <a:schemeClr val="accent6">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B-B1B8-446B-88E7-50C39EFC14BD}"/>
              </c:ext>
            </c:extLst>
          </c:dPt>
          <c:dPt>
            <c:idx val="78"/>
            <c:bubble3D val="0"/>
            <c:spPr>
              <a:solidFill>
                <a:schemeClr val="accent1">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D-B1B8-446B-88E7-50C39EFC14BD}"/>
              </c:ext>
            </c:extLst>
          </c:dPt>
          <c:dPt>
            <c:idx val="79"/>
            <c:bubble3D val="0"/>
            <c:spPr>
              <a:solidFill>
                <a:schemeClr val="accent2">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F-B1B8-446B-88E7-50C39EFC14BD}"/>
              </c:ext>
            </c:extLst>
          </c:dPt>
          <c:dPt>
            <c:idx val="80"/>
            <c:bubble3D val="0"/>
            <c:spPr>
              <a:solidFill>
                <a:schemeClr val="accent3">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1-B1B8-446B-88E7-50C39EFC14BD}"/>
              </c:ext>
            </c:extLst>
          </c:dPt>
          <c:dPt>
            <c:idx val="81"/>
            <c:bubble3D val="0"/>
            <c:spPr>
              <a:solidFill>
                <a:schemeClr val="accent4">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3-B1B8-446B-88E7-50C39EFC14BD}"/>
              </c:ext>
            </c:extLst>
          </c:dPt>
          <c:dPt>
            <c:idx val="82"/>
            <c:bubble3D val="0"/>
            <c:spPr>
              <a:solidFill>
                <a:schemeClr val="accent5">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5-B1B8-446B-88E7-50C39EFC14BD}"/>
              </c:ext>
            </c:extLst>
          </c:dPt>
          <c:dPt>
            <c:idx val="83"/>
            <c:bubble3D val="0"/>
            <c:spPr>
              <a:solidFill>
                <a:schemeClr val="accent6">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7-B1B8-446B-88E7-50C39EFC14BD}"/>
              </c:ext>
            </c:extLst>
          </c:dPt>
          <c:dPt>
            <c:idx val="84"/>
            <c:bubble3D val="0"/>
            <c:spPr>
              <a:solidFill>
                <a:schemeClr val="accent1">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9-B1B8-446B-88E7-50C39EFC14BD}"/>
              </c:ext>
            </c:extLst>
          </c:dPt>
          <c:dPt>
            <c:idx val="85"/>
            <c:bubble3D val="0"/>
            <c:spPr>
              <a:solidFill>
                <a:schemeClr val="accent2">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B-B1B8-446B-88E7-50C39EFC14BD}"/>
              </c:ext>
            </c:extLst>
          </c:dPt>
          <c:dPt>
            <c:idx val="86"/>
            <c:bubble3D val="0"/>
            <c:spPr>
              <a:solidFill>
                <a:schemeClr val="accent3">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D-B1B8-446B-88E7-50C39EFC14BD}"/>
              </c:ext>
            </c:extLst>
          </c:dPt>
          <c:dPt>
            <c:idx val="87"/>
            <c:bubble3D val="0"/>
            <c:spPr>
              <a:solidFill>
                <a:schemeClr val="accent4">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F-B1B8-446B-88E7-50C39EFC14BD}"/>
              </c:ext>
            </c:extLst>
          </c:dPt>
          <c:dPt>
            <c:idx val="88"/>
            <c:bubble3D val="0"/>
            <c:spPr>
              <a:solidFill>
                <a:schemeClr val="accent5">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1-B1B8-446B-88E7-50C39EFC14BD}"/>
              </c:ext>
            </c:extLst>
          </c:dPt>
          <c:dPt>
            <c:idx val="89"/>
            <c:bubble3D val="0"/>
            <c:spPr>
              <a:solidFill>
                <a:schemeClr val="accent6">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3-B1B8-446B-88E7-50C39EFC14BD}"/>
              </c:ext>
            </c:extLst>
          </c:dPt>
          <c:dPt>
            <c:idx val="90"/>
            <c:bubble3D val="0"/>
            <c:spPr>
              <a:solidFill>
                <a:schemeClr val="accent1">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5-B1B8-446B-88E7-50C39EFC14BD}"/>
              </c:ext>
            </c:extLst>
          </c:dPt>
          <c:dPt>
            <c:idx val="91"/>
            <c:bubble3D val="0"/>
            <c:spPr>
              <a:solidFill>
                <a:schemeClr val="accent2">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7-B1B8-446B-88E7-50C39EFC14BD}"/>
              </c:ext>
            </c:extLst>
          </c:dPt>
          <c:dPt>
            <c:idx val="92"/>
            <c:bubble3D val="0"/>
            <c:spPr>
              <a:solidFill>
                <a:schemeClr val="accent3">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9-B1B8-446B-88E7-50C39EFC14BD}"/>
              </c:ext>
            </c:extLst>
          </c:dPt>
          <c:dPt>
            <c:idx val="93"/>
            <c:bubble3D val="0"/>
            <c:spPr>
              <a:solidFill>
                <a:schemeClr val="accent4">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B-B1B8-446B-88E7-50C39EFC14BD}"/>
              </c:ext>
            </c:extLst>
          </c:dPt>
          <c:dPt>
            <c:idx val="94"/>
            <c:bubble3D val="0"/>
            <c:spPr>
              <a:solidFill>
                <a:schemeClr val="accent5">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D-B1B8-446B-88E7-50C39EFC14BD}"/>
              </c:ext>
            </c:extLst>
          </c:dPt>
          <c:dPt>
            <c:idx val="95"/>
            <c:bubble3D val="0"/>
            <c:spPr>
              <a:solidFill>
                <a:schemeClr val="accent6">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F-B1B8-446B-88E7-50C39EFC14BD}"/>
              </c:ext>
            </c:extLst>
          </c:dPt>
          <c:dPt>
            <c:idx val="96"/>
            <c:bubble3D val="0"/>
            <c:spPr>
              <a:solidFill>
                <a:schemeClr val="accent1">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1-B1B8-446B-88E7-50C39EFC14BD}"/>
              </c:ext>
            </c:extLst>
          </c:dPt>
          <c:dPt>
            <c:idx val="97"/>
            <c:bubble3D val="0"/>
            <c:spPr>
              <a:solidFill>
                <a:schemeClr val="accent2">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3-B1B8-446B-88E7-50C39EFC14BD}"/>
              </c:ext>
            </c:extLst>
          </c:dPt>
          <c:dPt>
            <c:idx val="98"/>
            <c:bubble3D val="0"/>
            <c:spPr>
              <a:solidFill>
                <a:schemeClr val="accent3">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5-B1B8-446B-88E7-50C39EFC14BD}"/>
              </c:ext>
            </c:extLst>
          </c:dPt>
          <c:dPt>
            <c:idx val="99"/>
            <c:bubble3D val="0"/>
            <c:spPr>
              <a:solidFill>
                <a:schemeClr val="accent4">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7-B1B8-446B-88E7-50C39EFC14BD}"/>
              </c:ext>
            </c:extLst>
          </c:dPt>
          <c:dPt>
            <c:idx val="100"/>
            <c:bubble3D val="0"/>
            <c:spPr>
              <a:solidFill>
                <a:schemeClr val="accent5">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9-B1B8-446B-88E7-50C39EFC14BD}"/>
              </c:ext>
            </c:extLst>
          </c:dPt>
          <c:dPt>
            <c:idx val="101"/>
            <c:bubble3D val="0"/>
            <c:spPr>
              <a:solidFill>
                <a:schemeClr val="accent6">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B-B1B8-446B-88E7-50C39EFC14BD}"/>
              </c:ext>
            </c:extLst>
          </c:dPt>
          <c:dPt>
            <c:idx val="102"/>
            <c:bubble3D val="0"/>
            <c:spPr>
              <a:solidFill>
                <a:schemeClr val="accent1">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D-B1B8-446B-88E7-50C39EFC14BD}"/>
              </c:ext>
            </c:extLst>
          </c:dPt>
          <c:dPt>
            <c:idx val="103"/>
            <c:bubble3D val="0"/>
            <c:spPr>
              <a:solidFill>
                <a:schemeClr val="accent2">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F-B1B8-446B-88E7-50C39EFC14BD}"/>
              </c:ext>
            </c:extLst>
          </c:dPt>
          <c:dPt>
            <c:idx val="104"/>
            <c:bubble3D val="0"/>
            <c:spPr>
              <a:solidFill>
                <a:schemeClr val="accent3">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D1-B1B8-446B-88E7-50C39EFC14BD}"/>
              </c:ext>
            </c:extLst>
          </c:dPt>
          <c:dPt>
            <c:idx val="105"/>
            <c:bubble3D val="0"/>
            <c:spPr>
              <a:solidFill>
                <a:schemeClr val="accent4">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D3-B1B8-446B-88E7-50C39EFC14BD}"/>
              </c:ext>
            </c:extLst>
          </c:dPt>
          <c:dPt>
            <c:idx val="106"/>
            <c:bubble3D val="0"/>
            <c:spPr>
              <a:solidFill>
                <a:schemeClr val="accent5">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D5-B1B8-446B-88E7-50C39EFC14BD}"/>
              </c:ext>
            </c:extLst>
          </c:dPt>
          <c:dPt>
            <c:idx val="107"/>
            <c:bubble3D val="0"/>
            <c:spPr>
              <a:solidFill>
                <a:schemeClr val="accent6">
                  <a:lumMod val="50000"/>
                  <a:lumOff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D7-B1B8-446B-88E7-50C39EFC14BD}"/>
              </c:ext>
            </c:extLst>
          </c:dPt>
          <c:dPt>
            <c:idx val="108"/>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D9-B1B8-446B-88E7-50C39EFC14BD}"/>
              </c:ext>
            </c:extLst>
          </c:dPt>
          <c:dPt>
            <c:idx val="109"/>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DB-B1B8-446B-88E7-50C39EFC14BD}"/>
              </c:ext>
            </c:extLst>
          </c:dPt>
          <c:dPt>
            <c:idx val="110"/>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DD-B1B8-446B-88E7-50C39EFC14BD}"/>
              </c:ext>
            </c:extLst>
          </c:dPt>
          <c:dPt>
            <c:idx val="111"/>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DF-B1B8-446B-88E7-50C39EFC14BD}"/>
              </c:ext>
            </c:extLst>
          </c:dPt>
          <c:dPt>
            <c:idx val="112"/>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E1-B1B8-446B-88E7-50C39EFC14BD}"/>
              </c:ext>
            </c:extLst>
          </c:dPt>
          <c:dPt>
            <c:idx val="113"/>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E3-B1B8-446B-88E7-50C39EFC14BD}"/>
              </c:ext>
            </c:extLst>
          </c:dPt>
          <c:dPt>
            <c:idx val="114"/>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E5-B1B8-446B-88E7-50C39EFC14BD}"/>
              </c:ext>
            </c:extLst>
          </c:dPt>
          <c:dLbls>
            <c:dLbl>
              <c:idx val="0"/>
              <c:layout>
                <c:manualLayout>
                  <c:x val="0.2389740270323967"/>
                  <c:y val="9.1531077573878891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7611-49E9-BB02-9EE14EE52C54}"/>
                </c:ext>
              </c:extLst>
            </c:dLbl>
            <c:dLbl>
              <c:idx val="1"/>
              <c:layout>
                <c:manualLayout>
                  <c:x val="0.13319237437706968"/>
                  <c:y val="-3.1264840028645486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611-49E9-BB02-9EE14EE52C54}"/>
                </c:ext>
              </c:extLst>
            </c:dLbl>
            <c:dLbl>
              <c:idx val="2"/>
              <c:layout>
                <c:manualLayout>
                  <c:x val="-7.9688914337809336E-2"/>
                  <c:y val="0.25368438907148594"/>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611-49E9-BB02-9EE14EE52C54}"/>
                </c:ext>
              </c:extLst>
            </c:dLbl>
            <c:dLbl>
              <c:idx val="3"/>
              <c:layout>
                <c:manualLayout>
                  <c:x val="-0.18681465771322134"/>
                  <c:y val="0.22830792470146385"/>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7611-49E9-BB02-9EE14EE52C54}"/>
                </c:ext>
              </c:extLst>
            </c:dLbl>
            <c:dLbl>
              <c:idx val="4"/>
              <c:layout>
                <c:manualLayout>
                  <c:x val="-0.13562841414254559"/>
                  <c:y val="3.4409048980187637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7611-49E9-BB02-9EE14EE52C54}"/>
                </c:ext>
              </c:extLst>
            </c:dLbl>
            <c:dLbl>
              <c:idx val="5"/>
              <c:layout>
                <c:manualLayout>
                  <c:x val="-0.25269974315138843"/>
                  <c:y val="2.9639806886684186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B-7611-49E9-BB02-9EE14EE52C54}"/>
                </c:ext>
              </c:extLst>
            </c:dLbl>
            <c:dLbl>
              <c:idx val="6"/>
              <c:layout>
                <c:manualLayout>
                  <c:x val="-0.18674394758022139"/>
                  <c:y val="0"/>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D-7611-49E9-BB02-9EE14EE52C54}"/>
                </c:ext>
              </c:extLst>
            </c:dLbl>
            <c:dLbl>
              <c:idx val="7"/>
              <c:layout>
                <c:manualLayout>
                  <c:x val="-0.25402669339956591"/>
                  <c:y val="-0.11880639210885285"/>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F-7611-49E9-BB02-9EE14EE52C54}"/>
                </c:ext>
              </c:extLst>
            </c:dLbl>
            <c:dLbl>
              <c:idx val="8"/>
              <c:layout>
                <c:manualLayout>
                  <c:x val="0.15104289877812016"/>
                  <c:y val="-0.10004748809166555"/>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1-7611-49E9-BB02-9EE14EE52C54}"/>
                </c:ext>
              </c:extLst>
            </c:dLbl>
            <c:dLbl>
              <c:idx val="9"/>
              <c:layout>
                <c:manualLayout>
                  <c:x val="0.24441487256823094"/>
                  <c:y val="-5.0023744045832791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3-7611-49E9-BB02-9EE14EE52C54}"/>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Backend_1!$E$20:$E$30</c:f>
              <c:strCache>
                <c:ptCount val="10"/>
                <c:pt idx="0">
                  <c:v>Beldex</c:v>
                </c:pt>
                <c:pt idx="1">
                  <c:v>Bitcoin</c:v>
                </c:pt>
                <c:pt idx="2">
                  <c:v>BNB</c:v>
                </c:pt>
                <c:pt idx="3">
                  <c:v>c8ntinuum</c:v>
                </c:pt>
                <c:pt idx="4">
                  <c:v>Dogecoin</c:v>
                </c:pt>
                <c:pt idx="5">
                  <c:v>Ethereum</c:v>
                </c:pt>
                <c:pt idx="6">
                  <c:v>Ondo US Dollar Yield</c:v>
                </c:pt>
                <c:pt idx="7">
                  <c:v>Stellar</c:v>
                </c:pt>
                <c:pt idx="8">
                  <c:v>XRP</c:v>
                </c:pt>
                <c:pt idx="9">
                  <c:v>Zcash</c:v>
                </c:pt>
              </c:strCache>
            </c:strRef>
          </c:cat>
          <c:val>
            <c:numRef>
              <c:f>Backend_1!$F$20:$F$30</c:f>
              <c:numCache>
                <c:formatCode>General</c:formatCode>
                <c:ptCount val="10"/>
                <c:pt idx="0">
                  <c:v>609084813</c:v>
                </c:pt>
                <c:pt idx="1">
                  <c:v>1222307110742</c:v>
                </c:pt>
                <c:pt idx="2">
                  <c:v>77889548635</c:v>
                </c:pt>
                <c:pt idx="3">
                  <c:v>820728735</c:v>
                </c:pt>
                <c:pt idx="4">
                  <c:v>12531182811</c:v>
                </c:pt>
                <c:pt idx="5">
                  <c:v>189809648557</c:v>
                </c:pt>
                <c:pt idx="6">
                  <c:v>2140253880</c:v>
                </c:pt>
                <c:pt idx="7">
                  <c:v>6619168999</c:v>
                </c:pt>
                <c:pt idx="8">
                  <c:v>67738003484</c:v>
                </c:pt>
                <c:pt idx="9">
                  <c:v>6413297048</c:v>
                </c:pt>
              </c:numCache>
            </c:numRef>
          </c:val>
          <c:extLst>
            <c:ext xmlns:c16="http://schemas.microsoft.com/office/drawing/2014/chart" uri="{C3380CC4-5D6E-409C-BE32-E72D297353CC}">
              <c16:uniqueId val="{00000014-7611-49E9-BB02-9EE14EE52C54}"/>
            </c:ext>
          </c:extLst>
        </c:ser>
        <c:dLbls>
          <c:showLegendKey val="0"/>
          <c:showVal val="0"/>
          <c:showCatName val="0"/>
          <c:showSerName val="0"/>
          <c:showPercent val="1"/>
          <c:showBubbleSize val="0"/>
          <c:showLeaderLines val="1"/>
        </c:dLbls>
        <c:firstSliceAng val="0"/>
        <c:holeSize val="51"/>
      </c:doughnutChart>
      <c:spPr>
        <a:noFill/>
        <a:ln>
          <a:noFill/>
        </a:ln>
        <a:effectLst/>
      </c:spPr>
    </c:plotArea>
    <c:legend>
      <c:legendPos val="r"/>
      <c:layout>
        <c:manualLayout>
          <c:xMode val="edge"/>
          <c:yMode val="edge"/>
          <c:x val="0.79428080370662124"/>
          <c:y val="5.4481817899049961E-2"/>
          <c:w val="0.19651832904523012"/>
          <c:h val="0.887307427073210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16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16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4800" b="1" i="0" u="sng" strike="noStrike" kern="1200" baseline="0">
                <a:solidFill>
                  <a:schemeClr val="accent1">
                    <a:lumMod val="50000"/>
                  </a:schemeClr>
                </a:solidFill>
                <a:latin typeface="+mn-lt"/>
                <a:ea typeface="+mn-ea"/>
                <a:cs typeface="+mn-cs"/>
              </a:defRPr>
            </a:pPr>
            <a:r>
              <a:rPr lang="en-IN" sz="4800" u="sng">
                <a:solidFill>
                  <a:schemeClr val="accent1">
                    <a:lumMod val="50000"/>
                  </a:schemeClr>
                </a:solidFill>
              </a:rPr>
              <a:t>Top 5 Crypto Liquidity Distribution</a:t>
            </a:r>
          </a:p>
        </c:rich>
      </c:tx>
      <c:layout>
        <c:manualLayout>
          <c:xMode val="edge"/>
          <c:yMode val="edge"/>
          <c:x val="0.18609331005896057"/>
          <c:y val="0.13693944094011687"/>
        </c:manualLayout>
      </c:layout>
      <c:overlay val="0"/>
      <c:spPr>
        <a:noFill/>
        <a:ln>
          <a:noFill/>
        </a:ln>
        <a:effectLst/>
      </c:spPr>
      <c:txPr>
        <a:bodyPr rot="0" spcFirstLastPara="1" vertOverflow="ellipsis" vert="horz" wrap="square" anchor="ctr" anchorCtr="1"/>
        <a:lstStyle/>
        <a:p>
          <a:pPr algn="ctr">
            <a:defRPr sz="4800" b="1" i="0" u="sng" strike="noStrike" kern="1200" baseline="0">
              <a:solidFill>
                <a:schemeClr val="accent1">
                  <a:lumMod val="50000"/>
                </a:schemeClr>
              </a:solidFill>
              <a:latin typeface="+mn-lt"/>
              <a:ea typeface="+mn-ea"/>
              <a:cs typeface="+mn-cs"/>
            </a:defRPr>
          </a:pPr>
          <a:endParaRPr lang="en-US"/>
        </a:p>
      </c:txPr>
    </c:title>
    <c:autoTitleDeleted val="0"/>
    <c:plotArea>
      <c:layout>
        <c:manualLayout>
          <c:layoutTarget val="inner"/>
          <c:xMode val="edge"/>
          <c:yMode val="edge"/>
          <c:x val="0.32233939281875862"/>
          <c:y val="0.28122811734855635"/>
          <c:w val="0.37031179577261331"/>
          <c:h val="0.66373113601359635"/>
        </c:manualLayout>
      </c:layout>
      <c:doughnut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A8D-426E-BFA1-93A8F855437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CA8D-426E-BFA1-93A8F855437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A8D-426E-BFA1-93A8F855437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CA8D-426E-BFA1-93A8F855437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A8D-426E-BFA1-93A8F8554371}"/>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CA8D-426E-BFA1-93A8F8554371}"/>
              </c:ext>
            </c:extLst>
          </c:dPt>
          <c:dLbls>
            <c:dLbl>
              <c:idx val="0"/>
              <c:layout>
                <c:manualLayout>
                  <c:x val="0.15555555555555556"/>
                  <c:y val="-7.870370370370370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A8D-426E-BFA1-93A8F8554371}"/>
                </c:ext>
              </c:extLst>
            </c:dLbl>
            <c:dLbl>
              <c:idx val="1"/>
              <c:layout>
                <c:manualLayout>
                  <c:x val="0.15833333333333333"/>
                  <c:y val="-6.944444444444453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CA8D-426E-BFA1-93A8F8554371}"/>
                </c:ext>
              </c:extLst>
            </c:dLbl>
            <c:dLbl>
              <c:idx val="2"/>
              <c:layout>
                <c:manualLayout>
                  <c:x val="0.14722222222222223"/>
                  <c:y val="6.944444444444428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A8D-426E-BFA1-93A8F8554371}"/>
                </c:ext>
              </c:extLst>
            </c:dLbl>
            <c:dLbl>
              <c:idx val="3"/>
              <c:layout>
                <c:manualLayout>
                  <c:x val="-0.1388888888888889"/>
                  <c:y val="9.722222222222205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CA8D-426E-BFA1-93A8F8554371}"/>
                </c:ext>
              </c:extLst>
            </c:dLbl>
            <c:dLbl>
              <c:idx val="4"/>
              <c:layout>
                <c:manualLayout>
                  <c:x val="-0.19722222222222224"/>
                  <c:y val="0.16666666666666666"/>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A8D-426E-BFA1-93A8F8554371}"/>
                </c:ext>
              </c:extLst>
            </c:dLbl>
            <c:dLbl>
              <c:idx val="5"/>
              <c:layout>
                <c:manualLayout>
                  <c:x val="-0.2"/>
                  <c:y val="-6.018518518518518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CA8D-426E-BFA1-93A8F8554371}"/>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Dashboard_3!$AH$35:$AH$40</c:f>
              <c:strCache>
                <c:ptCount val="6"/>
                <c:pt idx="0">
                  <c:v>Bitcoin</c:v>
                </c:pt>
                <c:pt idx="1">
                  <c:v>Ethereum</c:v>
                </c:pt>
                <c:pt idx="2">
                  <c:v>Solana</c:v>
                </c:pt>
                <c:pt idx="3">
                  <c:v>Tether</c:v>
                </c:pt>
                <c:pt idx="4">
                  <c:v>USDC</c:v>
                </c:pt>
                <c:pt idx="5">
                  <c:v>Others</c:v>
                </c:pt>
              </c:strCache>
            </c:strRef>
          </c:cat>
          <c:val>
            <c:numRef>
              <c:f>Dashboard_3!$AI$35:$AI$40</c:f>
              <c:numCache>
                <c:formatCode>General</c:formatCode>
                <c:ptCount val="6"/>
                <c:pt idx="0">
                  <c:v>67558459644</c:v>
                </c:pt>
                <c:pt idx="1">
                  <c:v>36178864935</c:v>
                </c:pt>
                <c:pt idx="2">
                  <c:v>5356898486</c:v>
                </c:pt>
                <c:pt idx="3">
                  <c:v>128822587010</c:v>
                </c:pt>
                <c:pt idx="4">
                  <c:v>22902529346</c:v>
                </c:pt>
                <c:pt idx="5">
                  <c:v>16810953665</c:v>
                </c:pt>
              </c:numCache>
            </c:numRef>
          </c:val>
          <c:extLst>
            <c:ext xmlns:c16="http://schemas.microsoft.com/office/drawing/2014/chart" uri="{C3380CC4-5D6E-409C-BE32-E72D297353CC}">
              <c16:uniqueId val="{00000000-CA8D-426E-BFA1-93A8F8554371}"/>
            </c:ext>
          </c:extLst>
        </c:ser>
        <c:dLbls>
          <c:showLegendKey val="0"/>
          <c:showVal val="0"/>
          <c:showCatName val="0"/>
          <c:showSerName val="0"/>
          <c:showPercent val="1"/>
          <c:showBubbleSize val="0"/>
          <c:showLeaderLines val="1"/>
        </c:dLbls>
        <c:firstSliceAng val="0"/>
        <c:holeSize val="36"/>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[Crypto_Analysis_Internship.xlsm]Dashboard_4!PivotTable1</c:name>
    <c:fmtId val="4"/>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3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219846827436157"/>
          <c:y val="8.1155206294793059E-2"/>
          <c:w val="0.6053158763753369"/>
          <c:h val="0.82429776347347528"/>
        </c:manualLayout>
      </c:layout>
      <c:barChart>
        <c:barDir val="bar"/>
        <c:grouping val="clustered"/>
        <c:varyColors val="0"/>
        <c:ser>
          <c:idx val="0"/>
          <c:order val="0"/>
          <c:tx>
            <c:strRef>
              <c:f>Dashboard_4!$B$51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3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Dashboard_4!$A$52:$A$62</c:f>
              <c:strCache>
                <c:ptCount val="10"/>
                <c:pt idx="0">
                  <c:v>Bitcoin</c:v>
                </c:pt>
                <c:pt idx="1">
                  <c:v>Zcash</c:v>
                </c:pt>
                <c:pt idx="2">
                  <c:v>Matrixdock Gold</c:v>
                </c:pt>
                <c:pt idx="3">
                  <c:v>Anthropic tokenized stock (PreStocks)</c:v>
                </c:pt>
                <c:pt idx="4">
                  <c:v>Ethereum</c:v>
                </c:pt>
                <c:pt idx="5">
                  <c:v>BNB</c:v>
                </c:pt>
                <c:pt idx="6">
                  <c:v>Eli Lilly Tokenized Stock (Ondo)</c:v>
                </c:pt>
                <c:pt idx="7">
                  <c:v>Marvell Technology Tokenized Stock (Ondo)</c:v>
                </c:pt>
                <c:pt idx="8">
                  <c:v>SpaceX tokenized stock (PreStocks)</c:v>
                </c:pt>
                <c:pt idx="9">
                  <c:v>TQQQ tokenized ETF (xStock)</c:v>
                </c:pt>
              </c:strCache>
            </c:strRef>
          </c:cat>
          <c:val>
            <c:numRef>
              <c:f>Dashboard_4!$B$52:$B$62</c:f>
              <c:numCache>
                <c:formatCode>General</c:formatCode>
                <c:ptCount val="10"/>
                <c:pt idx="0">
                  <c:v>36.55937437537068</c:v>
                </c:pt>
                <c:pt idx="1">
                  <c:v>13.015925031397899</c:v>
                </c:pt>
                <c:pt idx="2">
                  <c:v>9.4341628417478205</c:v>
                </c:pt>
                <c:pt idx="3">
                  <c:v>5.631685382092769</c:v>
                </c:pt>
                <c:pt idx="4">
                  <c:v>2.0430370518326981</c:v>
                </c:pt>
                <c:pt idx="5">
                  <c:v>2.0178276033881275</c:v>
                </c:pt>
                <c:pt idx="6">
                  <c:v>1.0140353681686065</c:v>
                </c:pt>
                <c:pt idx="7">
                  <c:v>0.88938502940300168</c:v>
                </c:pt>
                <c:pt idx="8">
                  <c:v>0.71444555444543312</c:v>
                </c:pt>
                <c:pt idx="9">
                  <c:v>0.70014858841011574</c:v>
                </c:pt>
              </c:numCache>
            </c:numRef>
          </c:val>
          <c:extLst>
            <c:ext xmlns:c16="http://schemas.microsoft.com/office/drawing/2014/chart" uri="{C3380CC4-5D6E-409C-BE32-E72D297353CC}">
              <c16:uniqueId val="{00000000-AE4D-49AC-A8B4-D0C9797B2CC5}"/>
            </c:ext>
          </c:extLst>
        </c:ser>
        <c:dLbls>
          <c:dLblPos val="outEnd"/>
          <c:showLegendKey val="0"/>
          <c:showVal val="1"/>
          <c:showCatName val="0"/>
          <c:showSerName val="0"/>
          <c:showPercent val="0"/>
          <c:showBubbleSize val="0"/>
        </c:dLbls>
        <c:gapWidth val="51"/>
        <c:overlap val="-20"/>
        <c:axId val="1775818991"/>
        <c:axId val="1775819471"/>
      </c:barChart>
      <c:catAx>
        <c:axId val="1775818991"/>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3600" b="1" i="0" u="none" strike="noStrike" kern="1200" baseline="0">
                <a:solidFill>
                  <a:schemeClr val="tx1">
                    <a:lumMod val="65000"/>
                    <a:lumOff val="35000"/>
                  </a:schemeClr>
                </a:solidFill>
                <a:latin typeface="+mn-lt"/>
                <a:ea typeface="+mn-ea"/>
                <a:cs typeface="+mn-cs"/>
              </a:defRPr>
            </a:pPr>
            <a:endParaRPr lang="en-US"/>
          </a:p>
        </c:txPr>
        <c:crossAx val="1775819471"/>
        <c:crosses val="autoZero"/>
        <c:auto val="1"/>
        <c:lblAlgn val="ctr"/>
        <c:lblOffset val="100"/>
        <c:noMultiLvlLbl val="0"/>
      </c:catAx>
      <c:valAx>
        <c:axId val="177581947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3600" b="1" i="0" u="none" strike="noStrike" kern="1200" baseline="0">
                <a:solidFill>
                  <a:schemeClr val="tx1">
                    <a:lumMod val="65000"/>
                    <a:lumOff val="35000"/>
                  </a:schemeClr>
                </a:solidFill>
                <a:latin typeface="+mn-lt"/>
                <a:ea typeface="+mn-ea"/>
                <a:cs typeface="+mn-cs"/>
              </a:defRPr>
            </a:pPr>
            <a:endParaRPr lang="en-US"/>
          </a:p>
        </c:txPr>
        <c:crossAx val="1775818991"/>
        <c:crosses val="autoZero"/>
        <c:crossBetween val="between"/>
      </c:valAx>
      <c:spPr>
        <a:noFill/>
        <a:ln>
          <a:noFill/>
        </a:ln>
        <a:effectLst/>
      </c:spPr>
    </c:plotArea>
    <c:legend>
      <c:legendPos val="r"/>
      <c:layout>
        <c:manualLayout>
          <c:xMode val="edge"/>
          <c:yMode val="edge"/>
          <c:x val="0.67244444072125431"/>
          <c:y val="0.2471007031445753"/>
          <c:w val="0.17315679145159277"/>
          <c:h val="9.1164886619894775E-2"/>
        </c:manualLayout>
      </c:layout>
      <c:overlay val="0"/>
      <c:spPr>
        <a:noFill/>
        <a:ln>
          <a:noFill/>
        </a:ln>
        <a:effectLst/>
      </c:spPr>
      <c:txPr>
        <a:bodyPr rot="0" spcFirstLastPara="1" vertOverflow="ellipsis" vert="horz" wrap="square" anchor="ctr" anchorCtr="1"/>
        <a:lstStyle/>
        <a:p>
          <a:pPr>
            <a:defRPr sz="48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w="269875" cap="flat" cmpd="tri" algn="ctr">
      <a:gradFill flip="none" rotWithShape="1">
        <a:gsLst>
          <a:gs pos="0">
            <a:schemeClr val="accent3">
              <a:lumMod val="89000"/>
            </a:schemeClr>
          </a:gs>
          <a:gs pos="23000">
            <a:schemeClr val="accent3">
              <a:lumMod val="89000"/>
            </a:schemeClr>
          </a:gs>
          <a:gs pos="69000">
            <a:schemeClr val="accent3">
              <a:lumMod val="75000"/>
            </a:schemeClr>
          </a:gs>
          <a:gs pos="97000">
            <a:schemeClr val="tx1">
              <a:lumMod val="85000"/>
              <a:lumOff val="15000"/>
            </a:schemeClr>
          </a:gs>
        </a:gsLst>
        <a:path path="circle">
          <a:fillToRect l="50000" t="50000" r="50000" b="50000"/>
        </a:path>
        <a:tileRect/>
      </a:gradFill>
      <a:round/>
    </a:ln>
    <a:effectLst/>
  </c:spPr>
  <c:txPr>
    <a:bodyPr/>
    <a:lstStyle/>
    <a:p>
      <a:pPr>
        <a:defRPr sz="3600" b="1"/>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[Crypto_Analysis_Internship.xlsm]Dashboard_5!PivotTable2</c:name>
    <c:fmtId val="10"/>
  </c:pivotSource>
  <c:chart>
    <c:autoTitleDeleted val="0"/>
    <c:pivotFmts>
      <c:pivotFmt>
        <c:idx val="0"/>
        <c:spPr>
          <a:ln w="6350"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747042183068177"/>
          <c:y val="0.10568460521223524"/>
          <c:w val="0.86172199300527486"/>
          <c:h val="0.60972904754738133"/>
        </c:manualLayout>
      </c:layout>
      <c:barChart>
        <c:barDir val="col"/>
        <c:grouping val="clustered"/>
        <c:varyColors val="0"/>
        <c:ser>
          <c:idx val="1"/>
          <c:order val="1"/>
          <c:tx>
            <c:strRef>
              <c:f>Dashboard_5!$H$74</c:f>
              <c:strCache>
                <c:ptCount val="1"/>
                <c:pt idx="0">
                  <c:v>Sum of 24h Price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strRef>
              <c:f>Dashboard_5!$F$75:$F$85</c:f>
              <c:strCache>
                <c:ptCount val="10"/>
                <c:pt idx="0">
                  <c:v>Acet</c:v>
                </c:pt>
                <c:pt idx="1">
                  <c:v>Banxchange</c:v>
                </c:pt>
                <c:pt idx="2">
                  <c:v>Commonwealth</c:v>
                </c:pt>
                <c:pt idx="3">
                  <c:v>DigiByte</c:v>
                </c:pt>
                <c:pt idx="4">
                  <c:v>IDEX</c:v>
                </c:pt>
                <c:pt idx="5">
                  <c:v>Light</c:v>
                </c:pt>
                <c:pt idx="6">
                  <c:v>NodeOps</c:v>
                </c:pt>
                <c:pt idx="7">
                  <c:v>SLIMEX</c:v>
                </c:pt>
                <c:pt idx="8">
                  <c:v>Yooldo</c:v>
                </c:pt>
                <c:pt idx="9">
                  <c:v>币安Holder</c:v>
                </c:pt>
              </c:strCache>
            </c:strRef>
          </c:cat>
          <c:val>
            <c:numRef>
              <c:f>Dashboard_5!$H$75:$H$85</c:f>
              <c:numCache>
                <c:formatCode>General</c:formatCode>
                <c:ptCount val="10"/>
                <c:pt idx="0">
                  <c:v>1.3603899784604919E-3</c:v>
                </c:pt>
                <c:pt idx="1">
                  <c:v>5.8396239851872958E-3</c:v>
                </c:pt>
                <c:pt idx="2">
                  <c:v>2.3138832997987926E-2</c:v>
                </c:pt>
                <c:pt idx="3">
                  <c:v>2.7697989331144854E-3</c:v>
                </c:pt>
                <c:pt idx="4">
                  <c:v>2.0694913408125476E-3</c:v>
                </c:pt>
                <c:pt idx="5">
                  <c:v>0.1217265867731913</c:v>
                </c:pt>
                <c:pt idx="6">
                  <c:v>1.1749895090222407E-2</c:v>
                </c:pt>
                <c:pt idx="7">
                  <c:v>1.6312556640821669E-2</c:v>
                </c:pt>
                <c:pt idx="8">
                  <c:v>6.0840707964601774E-2</c:v>
                </c:pt>
                <c:pt idx="9">
                  <c:v>1.2708095056551023E-3</c:v>
                </c:pt>
              </c:numCache>
            </c:numRef>
          </c:val>
          <c:extLst>
            <c:ext xmlns:c16="http://schemas.microsoft.com/office/drawing/2014/chart" uri="{C3380CC4-5D6E-409C-BE32-E72D297353CC}">
              <c16:uniqueId val="{0000000F-A27B-478B-A100-1D741EFF0F78}"/>
            </c:ext>
          </c:extLst>
        </c:ser>
        <c:ser>
          <c:idx val="2"/>
          <c:order val="2"/>
          <c:tx>
            <c:strRef>
              <c:f>Dashboard_5!$I$74</c:f>
              <c:strCache>
                <c:ptCount val="1"/>
                <c:pt idx="0">
                  <c:v>Sum of 7d Price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invertIfNegative val="0"/>
          <c:cat>
            <c:strRef>
              <c:f>Dashboard_5!$F$75:$F$85</c:f>
              <c:strCache>
                <c:ptCount val="10"/>
                <c:pt idx="0">
                  <c:v>Acet</c:v>
                </c:pt>
                <c:pt idx="1">
                  <c:v>Banxchange</c:v>
                </c:pt>
                <c:pt idx="2">
                  <c:v>Commonwealth</c:v>
                </c:pt>
                <c:pt idx="3">
                  <c:v>DigiByte</c:v>
                </c:pt>
                <c:pt idx="4">
                  <c:v>IDEX</c:v>
                </c:pt>
                <c:pt idx="5">
                  <c:v>Light</c:v>
                </c:pt>
                <c:pt idx="6">
                  <c:v>NodeOps</c:v>
                </c:pt>
                <c:pt idx="7">
                  <c:v>SLIMEX</c:v>
                </c:pt>
                <c:pt idx="8">
                  <c:v>Yooldo</c:v>
                </c:pt>
                <c:pt idx="9">
                  <c:v>币安Holder</c:v>
                </c:pt>
              </c:strCache>
            </c:strRef>
          </c:cat>
          <c:val>
            <c:numRef>
              <c:f>Dashboard_5!$I$75:$I$85</c:f>
              <c:numCache>
                <c:formatCode>General</c:formatCode>
                <c:ptCount val="10"/>
                <c:pt idx="0">
                  <c:v>1.0418475429762111E-3</c:v>
                </c:pt>
                <c:pt idx="1">
                  <c:v>3.469871360866622E-3</c:v>
                </c:pt>
                <c:pt idx="2">
                  <c:v>1.6276272026042034E-2</c:v>
                </c:pt>
                <c:pt idx="3">
                  <c:v>2.3031647189286023E-3</c:v>
                </c:pt>
                <c:pt idx="4">
                  <c:v>1.6643307638402243E-3</c:v>
                </c:pt>
                <c:pt idx="5">
                  <c:v>9.8571300206667267E-2</c:v>
                </c:pt>
                <c:pt idx="6">
                  <c:v>1.061611374407583E-2</c:v>
                </c:pt>
                <c:pt idx="7">
                  <c:v>2.1141649048625789E-3</c:v>
                </c:pt>
                <c:pt idx="8">
                  <c:v>3.5720611678573537E-2</c:v>
                </c:pt>
                <c:pt idx="9">
                  <c:v>9.9621438533572431E-4</c:v>
                </c:pt>
              </c:numCache>
            </c:numRef>
          </c:val>
          <c:extLst>
            <c:ext xmlns:c16="http://schemas.microsoft.com/office/drawing/2014/chart" uri="{C3380CC4-5D6E-409C-BE32-E72D297353CC}">
              <c16:uniqueId val="{00000010-A27B-478B-A100-1D741EFF0F78}"/>
            </c:ext>
          </c:extLst>
        </c:ser>
        <c:dLbls>
          <c:showLegendKey val="0"/>
          <c:showVal val="0"/>
          <c:showCatName val="0"/>
          <c:showSerName val="0"/>
          <c:showPercent val="0"/>
          <c:showBubbleSize val="0"/>
        </c:dLbls>
        <c:gapWidth val="76"/>
        <c:axId val="292657728"/>
        <c:axId val="292652448"/>
      </c:barChart>
      <c:lineChart>
        <c:grouping val="standard"/>
        <c:varyColors val="0"/>
        <c:ser>
          <c:idx val="0"/>
          <c:order val="0"/>
          <c:tx>
            <c:strRef>
              <c:f>Dashboard_5!$G$74</c:f>
              <c:strCache>
                <c:ptCount val="1"/>
                <c:pt idx="0">
                  <c:v>Sum of 1h Change (%)</c:v>
                </c:pt>
              </c:strCache>
            </c:strRef>
          </c:tx>
          <c:spPr>
            <a:ln w="6350" cap="rnd">
              <a:solidFill>
                <a:schemeClr val="accent2"/>
              </a:solidFill>
              <a:round/>
            </a:ln>
            <a:effectLst/>
          </c:spPr>
          <c:marker>
            <c:symbol val="none"/>
          </c:marker>
          <c:cat>
            <c:strRef>
              <c:f>Dashboard_5!$F$75:$F$85</c:f>
              <c:strCache>
                <c:ptCount val="10"/>
                <c:pt idx="0">
                  <c:v>Acet</c:v>
                </c:pt>
                <c:pt idx="1">
                  <c:v>Banxchange</c:v>
                </c:pt>
                <c:pt idx="2">
                  <c:v>Commonwealth</c:v>
                </c:pt>
                <c:pt idx="3">
                  <c:v>DigiByte</c:v>
                </c:pt>
                <c:pt idx="4">
                  <c:v>IDEX</c:v>
                </c:pt>
                <c:pt idx="5">
                  <c:v>Light</c:v>
                </c:pt>
                <c:pt idx="6">
                  <c:v>NodeOps</c:v>
                </c:pt>
                <c:pt idx="7">
                  <c:v>SLIMEX</c:v>
                </c:pt>
                <c:pt idx="8">
                  <c:v>Yooldo</c:v>
                </c:pt>
                <c:pt idx="9">
                  <c:v>币安Holder</c:v>
                </c:pt>
              </c:strCache>
            </c:strRef>
          </c:cat>
          <c:val>
            <c:numRef>
              <c:f>Dashboard_5!$G$75:$G$85</c:f>
              <c:numCache>
                <c:formatCode>General</c:formatCode>
                <c:ptCount val="10"/>
                <c:pt idx="0">
                  <c:v>5.45E-2</c:v>
                </c:pt>
                <c:pt idx="1">
                  <c:v>8.3400000000000002E-2</c:v>
                </c:pt>
                <c:pt idx="2">
                  <c:v>4.6399999999999997E-2</c:v>
                </c:pt>
                <c:pt idx="3">
                  <c:v>7.1400000000000005E-2</c:v>
                </c:pt>
                <c:pt idx="4">
                  <c:v>0.3</c:v>
                </c:pt>
                <c:pt idx="5">
                  <c:v>5.04E-2</c:v>
                </c:pt>
                <c:pt idx="6">
                  <c:v>8.1199999999999994E-2</c:v>
                </c:pt>
                <c:pt idx="7">
                  <c:v>0.17449999999999999</c:v>
                </c:pt>
                <c:pt idx="8">
                  <c:v>6.0100000000000001E-2</c:v>
                </c:pt>
                <c:pt idx="9">
                  <c:v>8.2000000000000003E-2</c:v>
                </c:pt>
              </c:numCache>
            </c:numRef>
          </c:val>
          <c:smooth val="0"/>
          <c:extLst>
            <c:ext xmlns:c16="http://schemas.microsoft.com/office/drawing/2014/chart" uri="{C3380CC4-5D6E-409C-BE32-E72D297353CC}">
              <c16:uniqueId val="{00000009-A27B-478B-A100-1D741EFF0F78}"/>
            </c:ext>
          </c:extLst>
        </c:ser>
        <c:dLbls>
          <c:showLegendKey val="0"/>
          <c:showVal val="0"/>
          <c:showCatName val="0"/>
          <c:showSerName val="0"/>
          <c:showPercent val="0"/>
          <c:showBubbleSize val="0"/>
        </c:dLbls>
        <c:marker val="1"/>
        <c:smooth val="0"/>
        <c:axId val="292657728"/>
        <c:axId val="292652448"/>
      </c:lineChart>
      <c:catAx>
        <c:axId val="29265772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2"/>
                </a:solidFill>
                <a:latin typeface="+mn-lt"/>
                <a:ea typeface="+mn-ea"/>
                <a:cs typeface="+mn-cs"/>
              </a:defRPr>
            </a:pPr>
            <a:endParaRPr lang="en-US"/>
          </a:p>
        </c:txPr>
        <c:crossAx val="292652448"/>
        <c:crosses val="autoZero"/>
        <c:auto val="1"/>
        <c:lblAlgn val="ctr"/>
        <c:lblOffset val="100"/>
        <c:noMultiLvlLbl val="0"/>
      </c:catAx>
      <c:valAx>
        <c:axId val="2926524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2"/>
                </a:solidFill>
                <a:latin typeface="+mn-lt"/>
                <a:ea typeface="+mn-ea"/>
                <a:cs typeface="+mn-cs"/>
              </a:defRPr>
            </a:pPr>
            <a:endParaRPr lang="en-US"/>
          </a:p>
        </c:txPr>
        <c:crossAx val="292657728"/>
        <c:crosses val="autoZero"/>
        <c:crossBetween val="between"/>
      </c:valAx>
      <c:spPr>
        <a:noFill/>
        <a:ln>
          <a:noFill/>
        </a:ln>
        <a:effectLst/>
      </c:spPr>
    </c:plotArea>
    <c:legend>
      <c:legendPos val="r"/>
      <c:layout>
        <c:manualLayout>
          <c:xMode val="edge"/>
          <c:yMode val="edge"/>
          <c:x val="0.69100283374578064"/>
          <c:y val="6.4721702937802369E-2"/>
          <c:w val="0.28410374763207097"/>
          <c:h val="0.200841461201538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2">
            <a:lumMod val="11000"/>
            <a:lumOff val="89000"/>
          </a:schemeClr>
        </a:gs>
        <a:gs pos="18000">
          <a:schemeClr val="accent2">
            <a:lumMod val="0"/>
            <a:lumOff val="100000"/>
          </a:schemeClr>
        </a:gs>
        <a:gs pos="100000">
          <a:schemeClr val="accent2">
            <a:lumMod val="60000"/>
            <a:lumOff val="40000"/>
          </a:schemeClr>
        </a:gs>
      </a:gsLst>
      <a:path path="circle">
        <a:fillToRect l="50000" t="50000" r="50000" b="50000"/>
      </a:path>
      <a:tileRect/>
    </a:gradFill>
    <a:ln w="69850" cap="flat" cmpd="tri" algn="ctr">
      <a:gradFill flip="none" rotWithShape="1">
        <a:gsLst>
          <a:gs pos="0">
            <a:schemeClr val="tx1"/>
          </a:gs>
          <a:gs pos="74000">
            <a:schemeClr val="accent3">
              <a:lumMod val="70000"/>
            </a:schemeClr>
          </a:gs>
        </a:gsLst>
        <a:path path="circle">
          <a:fillToRect l="50000" t="50000" r="50000" b="50000"/>
        </a:path>
        <a:tileRect/>
      </a:gradFill>
      <a:round/>
    </a:ln>
    <a:effectLst/>
  </c:spPr>
  <c:txPr>
    <a:bodyPr/>
    <a:lstStyle/>
    <a:p>
      <a:pPr>
        <a:defRPr sz="11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9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oneCellAnchor>
    <xdr:from>
      <xdr:col>11</xdr:col>
      <xdr:colOff>588448</xdr:colOff>
      <xdr:row>41</xdr:row>
      <xdr:rowOff>67938</xdr:rowOff>
    </xdr:from>
    <xdr:ext cx="8000644" cy="593304"/>
    <xdr:sp macro="" textlink="">
      <xdr:nvSpPr>
        <xdr:cNvPr id="3" name=".">
          <a:extLst>
            <a:ext uri="{FF2B5EF4-FFF2-40B4-BE49-F238E27FC236}">
              <a16:creationId xmlns:a16="http://schemas.microsoft.com/office/drawing/2014/main" id="{1D5113A8-1ADF-95D3-A3D5-F35790C8C552}"/>
            </a:ext>
          </a:extLst>
        </xdr:cNvPr>
        <xdr:cNvSpPr txBox="1"/>
      </xdr:nvSpPr>
      <xdr:spPr>
        <a:xfrm>
          <a:off x="36783448" y="9367615"/>
          <a:ext cx="8000644" cy="5933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endParaRPr lang="en-IN" sz="3200" b="1">
            <a:solidFill>
              <a:sysClr val="windowText" lastClr="000000"/>
            </a:solidFill>
          </a:endParaRPr>
        </a:p>
      </xdr:txBody>
    </xdr:sp>
    <xdr:clientData/>
  </xdr:oneCellAnchor>
  <xdr:twoCellAnchor>
    <xdr:from>
      <xdr:col>8</xdr:col>
      <xdr:colOff>650487</xdr:colOff>
      <xdr:row>5</xdr:row>
      <xdr:rowOff>2744</xdr:rowOff>
    </xdr:from>
    <xdr:to>
      <xdr:col>11</xdr:col>
      <xdr:colOff>634997</xdr:colOff>
      <xdr:row>8</xdr:row>
      <xdr:rowOff>164155</xdr:rowOff>
    </xdr:to>
    <xdr:sp macro="" textlink="#REF!">
      <xdr:nvSpPr>
        <xdr:cNvPr id="13" name="Rectangle: Rounded Corners 12">
          <a:extLst>
            <a:ext uri="{FF2B5EF4-FFF2-40B4-BE49-F238E27FC236}">
              <a16:creationId xmlns:a16="http://schemas.microsoft.com/office/drawing/2014/main" id="{4F95523B-2485-4FFF-9109-A8F06CB002D2}"/>
            </a:ext>
          </a:extLst>
        </xdr:cNvPr>
        <xdr:cNvSpPr/>
      </xdr:nvSpPr>
      <xdr:spPr>
        <a:xfrm>
          <a:off x="10918902" y="1985183"/>
          <a:ext cx="3446034" cy="718972"/>
        </a:xfrm>
        <a:prstGeom prst="roundRect">
          <a:avLst/>
        </a:prstGeom>
        <a:ln w="28575">
          <a:solidFill>
            <a:schemeClr val="tx1"/>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b"/>
        <a:lstStyle/>
        <a:p>
          <a:pPr algn="ctr"/>
          <a:fld id="{768E686D-DFF9-406F-87E6-74BC76B89701}" type="TxLink">
            <a:rPr lang="en-US" sz="1800" b="1" i="0" u="none" strike="noStrike" baseline="0">
              <a:solidFill>
                <a:schemeClr val="bg1"/>
              </a:solidFill>
              <a:effectLst/>
              <a:latin typeface="Calibri"/>
              <a:ea typeface="Calibri"/>
              <a:cs typeface="Calibri"/>
            </a:rPr>
            <a:pPr algn="ctr"/>
            <a:t>67188.03</a:t>
          </a:fld>
          <a:endParaRPr lang="en-IN" sz="2400" b="1" i="0" u="none" strike="noStrike" baseline="0">
            <a:solidFill>
              <a:schemeClr val="bg1"/>
            </a:solidFill>
            <a:effectLst/>
            <a:latin typeface="+mn-lt"/>
            <a:ea typeface="+mn-ea"/>
            <a:cs typeface="+mn-cs"/>
          </a:endParaRPr>
        </a:p>
      </xdr:txBody>
    </xdr:sp>
    <xdr:clientData/>
  </xdr:twoCellAnchor>
  <xdr:twoCellAnchor>
    <xdr:from>
      <xdr:col>8</xdr:col>
      <xdr:colOff>652064</xdr:colOff>
      <xdr:row>5</xdr:row>
      <xdr:rowOff>7523</xdr:rowOff>
    </xdr:from>
    <xdr:to>
      <xdr:col>11</xdr:col>
      <xdr:colOff>626734</xdr:colOff>
      <xdr:row>6</xdr:row>
      <xdr:rowOff>149637</xdr:rowOff>
    </xdr:to>
    <xdr:sp macro="" textlink="">
      <xdr:nvSpPr>
        <xdr:cNvPr id="14" name="Rectangle: Rounded Corners 13">
          <a:extLst>
            <a:ext uri="{FF2B5EF4-FFF2-40B4-BE49-F238E27FC236}">
              <a16:creationId xmlns:a16="http://schemas.microsoft.com/office/drawing/2014/main" id="{499639AF-4DEB-4BC0-B248-AC17EFDD43DB}"/>
            </a:ext>
          </a:extLst>
        </xdr:cNvPr>
        <xdr:cNvSpPr/>
      </xdr:nvSpPr>
      <xdr:spPr>
        <a:xfrm>
          <a:off x="10920479" y="1989962"/>
          <a:ext cx="3436194" cy="327968"/>
        </a:xfrm>
        <a:prstGeom prst="roundRect">
          <a:avLst>
            <a:gd name="adj" fmla="val 32667"/>
          </a:avLst>
        </a:prstGeom>
        <a:solidFill>
          <a:schemeClr val="accent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Highest Coin Price</a:t>
          </a:r>
        </a:p>
      </xdr:txBody>
    </xdr:sp>
    <xdr:clientData/>
  </xdr:twoCellAnchor>
  <xdr:twoCellAnchor>
    <xdr:from>
      <xdr:col>12</xdr:col>
      <xdr:colOff>154879</xdr:colOff>
      <xdr:row>4</xdr:row>
      <xdr:rowOff>170070</xdr:rowOff>
    </xdr:from>
    <xdr:to>
      <xdr:col>15</xdr:col>
      <xdr:colOff>363963</xdr:colOff>
      <xdr:row>8</xdr:row>
      <xdr:rowOff>172605</xdr:rowOff>
    </xdr:to>
    <xdr:sp macro="" textlink="#REF!">
      <xdr:nvSpPr>
        <xdr:cNvPr id="19" name="Rectangle: Rounded Corners 18">
          <a:extLst>
            <a:ext uri="{FF2B5EF4-FFF2-40B4-BE49-F238E27FC236}">
              <a16:creationId xmlns:a16="http://schemas.microsoft.com/office/drawing/2014/main" id="{7A978AC9-4C2F-4E9F-B5E6-9D159ACFA27F}"/>
            </a:ext>
          </a:extLst>
        </xdr:cNvPr>
        <xdr:cNvSpPr/>
      </xdr:nvSpPr>
      <xdr:spPr>
        <a:xfrm>
          <a:off x="15038659" y="1966655"/>
          <a:ext cx="3670609" cy="745950"/>
        </a:xfrm>
        <a:prstGeom prst="roundRect">
          <a:avLst/>
        </a:prstGeom>
        <a:ln w="28575">
          <a:solidFill>
            <a:schemeClr val="tx1"/>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b"/>
        <a:lstStyle/>
        <a:p>
          <a:pPr algn="ctr"/>
          <a:fld id="{3EAB507A-47E5-4631-B079-76CECDE8F56B}" type="TxLink">
            <a:rPr lang="en-US" sz="1800" b="1" i="0" u="none" strike="noStrike" baseline="0">
              <a:solidFill>
                <a:schemeClr val="bg1"/>
              </a:solidFill>
              <a:effectLst/>
              <a:latin typeface="Calibri"/>
              <a:ea typeface="Calibri"/>
              <a:cs typeface="Calibri"/>
            </a:rPr>
            <a:pPr algn="ctr"/>
            <a:t>73464.9468</a:t>
          </a:fld>
          <a:endParaRPr lang="en-IN" sz="2400" b="1" i="0" u="none" strike="noStrike" baseline="0">
            <a:solidFill>
              <a:schemeClr val="bg1"/>
            </a:solidFill>
            <a:effectLst/>
            <a:latin typeface="+mn-lt"/>
            <a:ea typeface="+mn-ea"/>
            <a:cs typeface="+mn-cs"/>
          </a:endParaRPr>
        </a:p>
      </xdr:txBody>
    </xdr:sp>
    <xdr:clientData/>
  </xdr:twoCellAnchor>
  <xdr:twoCellAnchor>
    <xdr:from>
      <xdr:col>12</xdr:col>
      <xdr:colOff>166698</xdr:colOff>
      <xdr:row>4</xdr:row>
      <xdr:rowOff>177859</xdr:rowOff>
    </xdr:from>
    <xdr:to>
      <xdr:col>15</xdr:col>
      <xdr:colOff>365509</xdr:colOff>
      <xdr:row>6</xdr:row>
      <xdr:rowOff>128555</xdr:rowOff>
    </xdr:to>
    <xdr:sp macro="" textlink="">
      <xdr:nvSpPr>
        <xdr:cNvPr id="20" name="Rectangle: Rounded Corners 19">
          <a:extLst>
            <a:ext uri="{FF2B5EF4-FFF2-40B4-BE49-F238E27FC236}">
              <a16:creationId xmlns:a16="http://schemas.microsoft.com/office/drawing/2014/main" id="{D2BC9D6A-4409-4AEA-A063-1B07CE0AD4EB}"/>
            </a:ext>
          </a:extLst>
        </xdr:cNvPr>
        <xdr:cNvSpPr/>
      </xdr:nvSpPr>
      <xdr:spPr>
        <a:xfrm>
          <a:off x="15050478" y="1974444"/>
          <a:ext cx="3660336" cy="322404"/>
        </a:xfrm>
        <a:prstGeom prst="roundRect">
          <a:avLst>
            <a:gd name="adj" fmla="val 32667"/>
          </a:avLst>
        </a:prstGeom>
        <a:solidFill>
          <a:schemeClr val="accent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Sum of</a:t>
          </a:r>
          <a:r>
            <a:rPr lang="en-IN" sz="1600" b="1" baseline="0"/>
            <a:t> </a:t>
          </a:r>
          <a:r>
            <a:rPr lang="en-IN" sz="1600" b="1"/>
            <a:t>Price USD</a:t>
          </a:r>
        </a:p>
      </xdr:txBody>
    </xdr:sp>
    <xdr:clientData/>
  </xdr:twoCellAnchor>
  <xdr:twoCellAnchor>
    <xdr:from>
      <xdr:col>15</xdr:col>
      <xdr:colOff>1153208</xdr:colOff>
      <xdr:row>4</xdr:row>
      <xdr:rowOff>168953</xdr:rowOff>
    </xdr:from>
    <xdr:to>
      <xdr:col>19</xdr:col>
      <xdr:colOff>54207</xdr:colOff>
      <xdr:row>8</xdr:row>
      <xdr:rowOff>171488</xdr:rowOff>
    </xdr:to>
    <xdr:sp macro="" textlink="#REF!">
      <xdr:nvSpPr>
        <xdr:cNvPr id="21" name="Rectangle: Rounded Corners 20">
          <a:extLst>
            <a:ext uri="{FF2B5EF4-FFF2-40B4-BE49-F238E27FC236}">
              <a16:creationId xmlns:a16="http://schemas.microsoft.com/office/drawing/2014/main" id="{E18E5A60-96DF-4972-BADC-6E7D378B59CA}"/>
            </a:ext>
          </a:extLst>
        </xdr:cNvPr>
        <xdr:cNvSpPr/>
      </xdr:nvSpPr>
      <xdr:spPr>
        <a:xfrm>
          <a:off x="19498513" y="1965538"/>
          <a:ext cx="3516365" cy="745950"/>
        </a:xfrm>
        <a:prstGeom prst="roundRect">
          <a:avLst/>
        </a:prstGeom>
        <a:ln w="28575">
          <a:solidFill>
            <a:sysClr val="windowText" lastClr="000000"/>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b"/>
        <a:lstStyle/>
        <a:p>
          <a:pPr algn="ctr"/>
          <a:fld id="{C1A48B6D-3523-412F-AE02-7015D7DAED33}" type="TxLink">
            <a:rPr lang="en-US" sz="1800" b="1" i="0" u="none" strike="noStrike" baseline="0">
              <a:solidFill>
                <a:schemeClr val="bg1"/>
              </a:solidFill>
              <a:effectLst/>
              <a:latin typeface="Calibri"/>
              <a:ea typeface="Calibri"/>
              <a:cs typeface="Calibri"/>
            </a:rPr>
            <a:pPr algn="ctr"/>
            <a:t>1.77664E+12</a:t>
          </a:fld>
          <a:endParaRPr lang="en-IN" sz="2400" b="1" i="0" u="none" strike="noStrike" baseline="0">
            <a:solidFill>
              <a:schemeClr val="bg1"/>
            </a:solidFill>
            <a:effectLst/>
            <a:latin typeface="+mn-lt"/>
            <a:ea typeface="+mn-ea"/>
            <a:cs typeface="+mn-cs"/>
          </a:endParaRPr>
        </a:p>
      </xdr:txBody>
    </xdr:sp>
    <xdr:clientData/>
  </xdr:twoCellAnchor>
  <xdr:twoCellAnchor>
    <xdr:from>
      <xdr:col>16</xdr:col>
      <xdr:colOff>4122</xdr:colOff>
      <xdr:row>4</xdr:row>
      <xdr:rowOff>173732</xdr:rowOff>
    </xdr:from>
    <xdr:to>
      <xdr:col>19</xdr:col>
      <xdr:colOff>37570</xdr:colOff>
      <xdr:row>6</xdr:row>
      <xdr:rowOff>129081</xdr:rowOff>
    </xdr:to>
    <xdr:sp macro="" textlink="">
      <xdr:nvSpPr>
        <xdr:cNvPr id="22" name="Rectangle: Rounded Corners 21">
          <a:extLst>
            <a:ext uri="{FF2B5EF4-FFF2-40B4-BE49-F238E27FC236}">
              <a16:creationId xmlns:a16="http://schemas.microsoft.com/office/drawing/2014/main" id="{8CCF178E-5A15-4E42-924D-1CDDBAAB986C}"/>
            </a:ext>
          </a:extLst>
        </xdr:cNvPr>
        <xdr:cNvSpPr/>
      </xdr:nvSpPr>
      <xdr:spPr>
        <a:xfrm>
          <a:off x="19503268" y="1970317"/>
          <a:ext cx="3494973" cy="327057"/>
        </a:xfrm>
        <a:prstGeom prst="roundRect">
          <a:avLst>
            <a:gd name="adj" fmla="val 32667"/>
          </a:avLst>
        </a:prstGeom>
        <a:solidFill>
          <a:schemeClr val="accent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Sum of Market Cap</a:t>
          </a:r>
        </a:p>
      </xdr:txBody>
    </xdr:sp>
    <xdr:clientData/>
  </xdr:twoCellAnchor>
  <xdr:twoCellAnchor>
    <xdr:from>
      <xdr:col>10</xdr:col>
      <xdr:colOff>496957</xdr:colOff>
      <xdr:row>10</xdr:row>
      <xdr:rowOff>90408</xdr:rowOff>
    </xdr:from>
    <xdr:to>
      <xdr:col>13</xdr:col>
      <xdr:colOff>377928</xdr:colOff>
      <xdr:row>14</xdr:row>
      <xdr:rowOff>102184</xdr:rowOff>
    </xdr:to>
    <xdr:sp macro="" textlink="#REF!">
      <xdr:nvSpPr>
        <xdr:cNvPr id="38" name="Rectangle: Rounded Corners 37">
          <a:extLst>
            <a:ext uri="{FF2B5EF4-FFF2-40B4-BE49-F238E27FC236}">
              <a16:creationId xmlns:a16="http://schemas.microsoft.com/office/drawing/2014/main" id="{666CA854-A2E2-4542-9EFF-94C1DF834535}"/>
            </a:ext>
          </a:extLst>
        </xdr:cNvPr>
        <xdr:cNvSpPr/>
      </xdr:nvSpPr>
      <xdr:spPr>
        <a:xfrm>
          <a:off x="13086522" y="2961712"/>
          <a:ext cx="3359667" cy="729602"/>
        </a:xfrm>
        <a:prstGeom prst="roundRect">
          <a:avLst/>
        </a:prstGeom>
        <a:ln w="28575">
          <a:solidFill>
            <a:schemeClr val="tx1"/>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b"/>
        <a:lstStyle/>
        <a:p>
          <a:pPr algn="ctr"/>
          <a:fld id="{FB422866-D053-4775-A594-D64323A82033}" type="TxLink">
            <a:rPr lang="en-US" sz="1800" b="1" i="0" u="none" strike="noStrike" baseline="0">
              <a:solidFill>
                <a:schemeClr val="bg1"/>
              </a:solidFill>
              <a:effectLst/>
              <a:latin typeface="Calibri"/>
              <a:ea typeface="Calibri"/>
              <a:cs typeface="Calibri"/>
            </a:rPr>
            <a:pPr algn="ctr"/>
            <a:t>965856116.5</a:t>
          </a:fld>
          <a:endParaRPr lang="en-IN" sz="2400" b="1" i="0" u="none" strike="noStrike" baseline="0">
            <a:solidFill>
              <a:schemeClr val="bg1"/>
            </a:solidFill>
            <a:effectLst/>
            <a:latin typeface="+mn-lt"/>
            <a:ea typeface="+mn-ea"/>
            <a:cs typeface="+mn-cs"/>
          </a:endParaRPr>
        </a:p>
      </xdr:txBody>
    </xdr:sp>
    <xdr:clientData/>
  </xdr:twoCellAnchor>
  <xdr:twoCellAnchor>
    <xdr:from>
      <xdr:col>10</xdr:col>
      <xdr:colOff>510759</xdr:colOff>
      <xdr:row>10</xdr:row>
      <xdr:rowOff>95187</xdr:rowOff>
    </xdr:from>
    <xdr:to>
      <xdr:col>13</xdr:col>
      <xdr:colOff>374802</xdr:colOff>
      <xdr:row>12</xdr:row>
      <xdr:rowOff>54002</xdr:rowOff>
    </xdr:to>
    <xdr:sp macro="" textlink="">
      <xdr:nvSpPr>
        <xdr:cNvPr id="39" name="Rectangle: Rounded Corners 38">
          <a:extLst>
            <a:ext uri="{FF2B5EF4-FFF2-40B4-BE49-F238E27FC236}">
              <a16:creationId xmlns:a16="http://schemas.microsoft.com/office/drawing/2014/main" id="{2A830924-114E-44BD-86B0-1AA3018F0363}"/>
            </a:ext>
          </a:extLst>
        </xdr:cNvPr>
        <xdr:cNvSpPr/>
      </xdr:nvSpPr>
      <xdr:spPr>
        <a:xfrm>
          <a:off x="13100324" y="2966491"/>
          <a:ext cx="3342739" cy="317728"/>
        </a:xfrm>
        <a:prstGeom prst="roundRect">
          <a:avLst>
            <a:gd name="adj" fmla="val 32667"/>
          </a:avLst>
        </a:prstGeom>
        <a:solidFill>
          <a:schemeClr val="accent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Average of Volume (24h) USD</a:t>
          </a:r>
        </a:p>
      </xdr:txBody>
    </xdr:sp>
    <xdr:clientData/>
  </xdr:twoCellAnchor>
  <xdr:twoCellAnchor>
    <xdr:from>
      <xdr:col>14</xdr:col>
      <xdr:colOff>257039</xdr:colOff>
      <xdr:row>10</xdr:row>
      <xdr:rowOff>90534</xdr:rowOff>
    </xdr:from>
    <xdr:to>
      <xdr:col>17</xdr:col>
      <xdr:colOff>137407</xdr:colOff>
      <xdr:row>14</xdr:row>
      <xdr:rowOff>116781</xdr:rowOff>
    </xdr:to>
    <xdr:sp macro="" textlink="#REF!">
      <xdr:nvSpPr>
        <xdr:cNvPr id="52" name="Rectangle: Rounded Corners 51">
          <a:extLst>
            <a:ext uri="{FF2B5EF4-FFF2-40B4-BE49-F238E27FC236}">
              <a16:creationId xmlns:a16="http://schemas.microsoft.com/office/drawing/2014/main" id="{5D80DE57-566D-4FD4-B280-61E4A247B675}"/>
            </a:ext>
          </a:extLst>
        </xdr:cNvPr>
        <xdr:cNvSpPr/>
      </xdr:nvSpPr>
      <xdr:spPr>
        <a:xfrm>
          <a:off x="17479269" y="2956615"/>
          <a:ext cx="3355706" cy="747058"/>
        </a:xfrm>
        <a:prstGeom prst="roundRect">
          <a:avLst/>
        </a:prstGeom>
        <a:ln w="28575">
          <a:solidFill>
            <a:schemeClr val="tx1"/>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b"/>
        <a:lstStyle/>
        <a:p>
          <a:pPr algn="ctr"/>
          <a:fld id="{890A4E8D-B9B0-4DC6-8877-80B9DDB4391D}" type="TxLink">
            <a:rPr lang="en-US" sz="1800" b="1" i="0" u="none" strike="noStrike" baseline="0">
              <a:solidFill>
                <a:schemeClr val="bg1"/>
              </a:solidFill>
              <a:effectLst/>
              <a:latin typeface="Calibri"/>
              <a:ea typeface="Calibri"/>
              <a:cs typeface="Calibri"/>
            </a:rPr>
            <a:pPr algn="ctr"/>
            <a:t>1.11073E+11</a:t>
          </a:fld>
          <a:endParaRPr lang="en-IN" sz="4000" b="1" i="0" u="none" strike="noStrike" baseline="0">
            <a:solidFill>
              <a:schemeClr val="bg1"/>
            </a:solidFill>
            <a:effectLst/>
            <a:latin typeface="+mn-lt"/>
            <a:ea typeface="+mn-ea"/>
            <a:cs typeface="+mn-cs"/>
          </a:endParaRPr>
        </a:p>
      </xdr:txBody>
    </xdr:sp>
    <xdr:clientData/>
  </xdr:twoCellAnchor>
  <xdr:twoCellAnchor>
    <xdr:from>
      <xdr:col>14</xdr:col>
      <xdr:colOff>253685</xdr:colOff>
      <xdr:row>10</xdr:row>
      <xdr:rowOff>95313</xdr:rowOff>
    </xdr:from>
    <xdr:to>
      <xdr:col>17</xdr:col>
      <xdr:colOff>120134</xdr:colOff>
      <xdr:row>12</xdr:row>
      <xdr:rowOff>110262</xdr:rowOff>
    </xdr:to>
    <xdr:sp macro="" textlink="">
      <xdr:nvSpPr>
        <xdr:cNvPr id="53" name="Rectangle: Rounded Corners 52">
          <a:extLst>
            <a:ext uri="{FF2B5EF4-FFF2-40B4-BE49-F238E27FC236}">
              <a16:creationId xmlns:a16="http://schemas.microsoft.com/office/drawing/2014/main" id="{266D8B7F-22A0-46D9-A91D-6DF85596436C}"/>
            </a:ext>
          </a:extLst>
        </xdr:cNvPr>
        <xdr:cNvSpPr/>
      </xdr:nvSpPr>
      <xdr:spPr>
        <a:xfrm>
          <a:off x="17475915" y="2961394"/>
          <a:ext cx="3341787" cy="375354"/>
        </a:xfrm>
        <a:prstGeom prst="roundRect">
          <a:avLst>
            <a:gd name="adj" fmla="val 32667"/>
          </a:avLst>
        </a:prstGeom>
        <a:solidFill>
          <a:schemeClr val="accent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Sum of Volume (24h)</a:t>
          </a:r>
          <a:r>
            <a:rPr lang="en-IN" sz="1600" b="1" baseline="0"/>
            <a:t> </a:t>
          </a:r>
          <a:r>
            <a:rPr lang="en-IN" sz="1600" b="1"/>
            <a:t>USD</a:t>
          </a:r>
        </a:p>
      </xdr:txBody>
    </xdr:sp>
    <xdr:clientData/>
  </xdr:twoCellAnchor>
  <xdr:twoCellAnchor editAs="oneCell">
    <xdr:from>
      <xdr:col>8</xdr:col>
      <xdr:colOff>618792</xdr:colOff>
      <xdr:row>17</xdr:row>
      <xdr:rowOff>-1</xdr:rowOff>
    </xdr:from>
    <xdr:to>
      <xdr:col>11</xdr:col>
      <xdr:colOff>823784</xdr:colOff>
      <xdr:row>33</xdr:row>
      <xdr:rowOff>15875</xdr:rowOff>
    </xdr:to>
    <mc:AlternateContent xmlns:mc="http://schemas.openxmlformats.org/markup-compatibility/2006" xmlns:a14="http://schemas.microsoft.com/office/drawing/2010/main">
      <mc:Choice Requires="a14">
        <xdr:graphicFrame macro="">
          <xdr:nvGraphicFramePr>
            <xdr:cNvPr id="57" name="Coin Name">
              <a:extLst>
                <a:ext uri="{FF2B5EF4-FFF2-40B4-BE49-F238E27FC236}">
                  <a16:creationId xmlns:a16="http://schemas.microsoft.com/office/drawing/2014/main" id="{FE356646-4414-B35D-C4CE-804998CD77F0}"/>
                </a:ext>
              </a:extLst>
            </xdr:cNvPr>
            <xdr:cNvGraphicFramePr/>
          </xdr:nvGraphicFramePr>
          <xdr:xfrm>
            <a:off x="0" y="0"/>
            <a:ext cx="0" cy="0"/>
          </xdr:xfrm>
          <a:graphic>
            <a:graphicData uri="http://schemas.microsoft.com/office/drawing/2010/slicer">
              <sle:slicer xmlns:sle="http://schemas.microsoft.com/office/drawing/2010/slicer" name="Coin Name"/>
            </a:graphicData>
          </a:graphic>
        </xdr:graphicFrame>
      </mc:Choice>
      <mc:Fallback xmlns="">
        <xdr:sp macro="" textlink="">
          <xdr:nvSpPr>
            <xdr:cNvPr id="0" name=""/>
            <xdr:cNvSpPr>
              <a:spLocks noTextEdit="1"/>
            </xdr:cNvSpPr>
          </xdr:nvSpPr>
          <xdr:spPr>
            <a:xfrm>
              <a:off x="10910171" y="4072758"/>
              <a:ext cx="3686544" cy="28186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607032</xdr:colOff>
      <xdr:row>33</xdr:row>
      <xdr:rowOff>174625</xdr:rowOff>
    </xdr:from>
    <xdr:to>
      <xdr:col>11</xdr:col>
      <xdr:colOff>808375</xdr:colOff>
      <xdr:row>41</xdr:row>
      <xdr:rowOff>15875</xdr:rowOff>
    </xdr:to>
    <mc:AlternateContent xmlns:mc="http://schemas.openxmlformats.org/markup-compatibility/2006" xmlns:a14="http://schemas.microsoft.com/office/drawing/2010/main">
      <mc:Choice Requires="a14">
        <xdr:graphicFrame macro="">
          <xdr:nvGraphicFramePr>
            <xdr:cNvPr id="58" name="Valid Coin">
              <a:extLst>
                <a:ext uri="{FF2B5EF4-FFF2-40B4-BE49-F238E27FC236}">
                  <a16:creationId xmlns:a16="http://schemas.microsoft.com/office/drawing/2014/main" id="{6EB4EC71-E030-1F88-EA91-AB5EEC396356}"/>
                </a:ext>
              </a:extLst>
            </xdr:cNvPr>
            <xdr:cNvGraphicFramePr/>
          </xdr:nvGraphicFramePr>
          <xdr:xfrm>
            <a:off x="0" y="0"/>
            <a:ext cx="0" cy="0"/>
          </xdr:xfrm>
          <a:graphic>
            <a:graphicData uri="http://schemas.microsoft.com/office/drawing/2010/slicer">
              <sle:slicer xmlns:sle="http://schemas.microsoft.com/office/drawing/2010/slicer" name="Valid Coin"/>
            </a:graphicData>
          </a:graphic>
        </xdr:graphicFrame>
      </mc:Choice>
      <mc:Fallback xmlns="">
        <xdr:sp macro="" textlink="">
          <xdr:nvSpPr>
            <xdr:cNvPr id="0" name=""/>
            <xdr:cNvSpPr>
              <a:spLocks noTextEdit="1"/>
            </xdr:cNvSpPr>
          </xdr:nvSpPr>
          <xdr:spPr>
            <a:xfrm>
              <a:off x="10898411" y="7050142"/>
              <a:ext cx="3682895" cy="12426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58316</xdr:colOff>
      <xdr:row>41</xdr:row>
      <xdr:rowOff>105169</xdr:rowOff>
    </xdr:from>
    <xdr:to>
      <xdr:col>17</xdr:col>
      <xdr:colOff>1439965</xdr:colOff>
      <xdr:row>44</xdr:row>
      <xdr:rowOff>118128</xdr:rowOff>
    </xdr:to>
    <xdr:sp macro="" textlink="">
      <xdr:nvSpPr>
        <xdr:cNvPr id="59" name="WorkMsg" hidden="1">
          <a:extLst>
            <a:ext uri="{FF2B5EF4-FFF2-40B4-BE49-F238E27FC236}">
              <a16:creationId xmlns:a16="http://schemas.microsoft.com/office/drawing/2014/main" id="{56866A5C-022A-E1A4-511D-C9CF63A72E78}"/>
            </a:ext>
          </a:extLst>
        </xdr:cNvPr>
        <xdr:cNvSpPr/>
      </xdr:nvSpPr>
      <xdr:spPr>
        <a:xfrm>
          <a:off x="1352739" y="8311323"/>
          <a:ext cx="15693572" cy="599113"/>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3600" b="1">
              <a:solidFill>
                <a:schemeClr val="lt1"/>
              </a:solidFill>
              <a:effectLst/>
              <a:latin typeface="+mn-lt"/>
              <a:ea typeface="+mn-ea"/>
              <a:cs typeface="+mn-cs"/>
            </a:rPr>
            <a:t>Please open in working hours (9 am to 5 pm)</a:t>
          </a:r>
          <a:endParaRPr lang="en-IN" sz="3600">
            <a:effectLst/>
          </a:endParaRPr>
        </a:p>
        <a:p>
          <a:pPr algn="l"/>
          <a:endParaRPr lang="en-IN" sz="1100"/>
        </a:p>
      </xdr:txBody>
    </xdr:sp>
    <xdr:clientData/>
  </xdr:twoCellAnchor>
  <xdr:twoCellAnchor>
    <xdr:from>
      <xdr:col>8</xdr:col>
      <xdr:colOff>819478</xdr:colOff>
      <xdr:row>43</xdr:row>
      <xdr:rowOff>132292</xdr:rowOff>
    </xdr:from>
    <xdr:to>
      <xdr:col>19</xdr:col>
      <xdr:colOff>315857</xdr:colOff>
      <xdr:row>77</xdr:row>
      <xdr:rowOff>182507</xdr:rowOff>
    </xdr:to>
    <xdr:graphicFrame macro="">
      <xdr:nvGraphicFramePr>
        <xdr:cNvPr id="2" name="CryptoChart">
          <a:extLst>
            <a:ext uri="{FF2B5EF4-FFF2-40B4-BE49-F238E27FC236}">
              <a16:creationId xmlns:a16="http://schemas.microsoft.com/office/drawing/2014/main" id="{FDFA7AB9-50EE-44A4-8410-A747B1C687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47625</xdr:colOff>
      <xdr:row>14</xdr:row>
      <xdr:rowOff>174113</xdr:rowOff>
    </xdr:from>
    <xdr:to>
      <xdr:col>19</xdr:col>
      <xdr:colOff>508000</xdr:colOff>
      <xdr:row>44</xdr:row>
      <xdr:rowOff>15874</xdr:rowOff>
    </xdr:to>
    <xdr:graphicFrame macro="">
      <xdr:nvGraphicFramePr>
        <xdr:cNvPr id="4" name="DoughnutChart">
          <a:extLst>
            <a:ext uri="{FF2B5EF4-FFF2-40B4-BE49-F238E27FC236}">
              <a16:creationId xmlns:a16="http://schemas.microsoft.com/office/drawing/2014/main" id="{48C32D26-8695-44A7-8769-1DD337B982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27</xdr:col>
      <xdr:colOff>0</xdr:colOff>
      <xdr:row>41</xdr:row>
      <xdr:rowOff>67938</xdr:rowOff>
    </xdr:from>
    <xdr:ext cx="8000644" cy="593304"/>
    <xdr:sp macro="" textlink="">
      <xdr:nvSpPr>
        <xdr:cNvPr id="5" name=".">
          <a:extLst>
            <a:ext uri="{FF2B5EF4-FFF2-40B4-BE49-F238E27FC236}">
              <a16:creationId xmlns:a16="http://schemas.microsoft.com/office/drawing/2014/main" id="{781C2654-100D-4C58-8BC6-49DEE77A4DAB}"/>
            </a:ext>
          </a:extLst>
        </xdr:cNvPr>
        <xdr:cNvSpPr txBox="1"/>
      </xdr:nvSpPr>
      <xdr:spPr>
        <a:xfrm>
          <a:off x="14323263" y="8816827"/>
          <a:ext cx="8000644" cy="5933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endParaRPr lang="en-IN" sz="3200" b="1">
            <a:solidFill>
              <a:sysClr val="windowText" lastClr="000000"/>
            </a:solidFill>
          </a:endParaRP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6</xdr:col>
      <xdr:colOff>1862666</xdr:colOff>
      <xdr:row>3</xdr:row>
      <xdr:rowOff>146242</xdr:rowOff>
    </xdr:from>
    <xdr:to>
      <xdr:col>6</xdr:col>
      <xdr:colOff>3302000</xdr:colOff>
      <xdr:row>6</xdr:row>
      <xdr:rowOff>19242</xdr:rowOff>
    </xdr:to>
    <xdr:sp macro="" textlink="">
      <xdr:nvSpPr>
        <xdr:cNvPr id="8" name="Oval 7">
          <a:extLst>
            <a:ext uri="{FF2B5EF4-FFF2-40B4-BE49-F238E27FC236}">
              <a16:creationId xmlns:a16="http://schemas.microsoft.com/office/drawing/2014/main" id="{88CAE2E4-A5B9-D200-BBE8-E1C095954A8F}"/>
            </a:ext>
          </a:extLst>
        </xdr:cNvPr>
        <xdr:cNvSpPr/>
      </xdr:nvSpPr>
      <xdr:spPr>
        <a:xfrm>
          <a:off x="10194636" y="1704878"/>
          <a:ext cx="1439334" cy="1066031"/>
        </a:xfrm>
        <a:prstGeom prst="ellipse">
          <a:avLst/>
        </a:prstGeom>
        <a:solidFill>
          <a:schemeClr val="accent2">
            <a:lumMod val="40000"/>
            <a:lumOff val="60000"/>
          </a:schemeClr>
        </a:solidFill>
        <a:ln w="28575"/>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6000" b="1">
              <a:solidFill>
                <a:sysClr val="windowText" lastClr="000000"/>
              </a:solidFill>
            </a:rPr>
            <a:t>VS</a:t>
          </a:r>
        </a:p>
      </xdr:txBody>
    </xdr:sp>
    <xdr:clientData/>
  </xdr:twoCellAnchor>
  <xdr:twoCellAnchor>
    <xdr:from>
      <xdr:col>3</xdr:col>
      <xdr:colOff>144130</xdr:colOff>
      <xdr:row>14</xdr:row>
      <xdr:rowOff>406710</xdr:rowOff>
    </xdr:from>
    <xdr:to>
      <xdr:col>5</xdr:col>
      <xdr:colOff>58374</xdr:colOff>
      <xdr:row>19</xdr:row>
      <xdr:rowOff>143704</xdr:rowOff>
    </xdr:to>
    <xdr:sp macro="" textlink="G84">
      <xdr:nvSpPr>
        <xdr:cNvPr id="2" name="Rectangle: Rounded Corners 1">
          <a:extLst>
            <a:ext uri="{FF2B5EF4-FFF2-40B4-BE49-F238E27FC236}">
              <a16:creationId xmlns:a16="http://schemas.microsoft.com/office/drawing/2014/main" id="{63AA6C54-67A6-42ED-BF10-9446741A5785}"/>
            </a:ext>
          </a:extLst>
        </xdr:cNvPr>
        <xdr:cNvSpPr/>
      </xdr:nvSpPr>
      <xdr:spPr>
        <a:xfrm>
          <a:off x="2668642" y="6028783"/>
          <a:ext cx="4653512" cy="1285775"/>
        </a:xfrm>
        <a:prstGeom prst="roundRect">
          <a:avLst/>
        </a:prstGeom>
        <a:ln w="28575">
          <a:solidFill>
            <a:schemeClr val="tx1"/>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b"/>
        <a:lstStyle/>
        <a:p>
          <a:pPr algn="ctr"/>
          <a:fld id="{D32BE827-E445-4886-BFBE-02AA9428A66D}" type="TxLink">
            <a:rPr lang="en-US" sz="2800" b="1" i="0" u="none" strike="noStrike" baseline="0">
              <a:solidFill>
                <a:schemeClr val="bg1"/>
              </a:solidFill>
              <a:effectLst/>
              <a:latin typeface="Calibri"/>
              <a:ea typeface="Calibri"/>
              <a:cs typeface="Calibri"/>
            </a:rPr>
            <a:pPr algn="ctr"/>
            <a:t> 8,04,828.00 </a:t>
          </a:fld>
          <a:endParaRPr lang="en-IN" sz="13800" b="1" i="0" u="none" strike="noStrike" baseline="0">
            <a:solidFill>
              <a:schemeClr val="bg1"/>
            </a:solidFill>
            <a:effectLst/>
            <a:latin typeface="+mn-lt"/>
            <a:ea typeface="+mn-ea"/>
            <a:cs typeface="+mn-cs"/>
          </a:endParaRPr>
        </a:p>
      </xdr:txBody>
    </xdr:sp>
    <xdr:clientData/>
  </xdr:twoCellAnchor>
  <xdr:twoCellAnchor>
    <xdr:from>
      <xdr:col>3</xdr:col>
      <xdr:colOff>145143</xdr:colOff>
      <xdr:row>14</xdr:row>
      <xdr:rowOff>405139</xdr:rowOff>
    </xdr:from>
    <xdr:to>
      <xdr:col>5</xdr:col>
      <xdr:colOff>46464</xdr:colOff>
      <xdr:row>17</xdr:row>
      <xdr:rowOff>96835</xdr:rowOff>
    </xdr:to>
    <xdr:sp macro="" textlink="">
      <xdr:nvSpPr>
        <xdr:cNvPr id="3" name="Rectangle: Rounded Corners 2">
          <a:extLst>
            <a:ext uri="{FF2B5EF4-FFF2-40B4-BE49-F238E27FC236}">
              <a16:creationId xmlns:a16="http://schemas.microsoft.com/office/drawing/2014/main" id="{1320FAEB-F28D-49B5-9E9E-9F951F00E36B}"/>
            </a:ext>
          </a:extLst>
        </xdr:cNvPr>
        <xdr:cNvSpPr/>
      </xdr:nvSpPr>
      <xdr:spPr>
        <a:xfrm>
          <a:off x="2669655" y="6027212"/>
          <a:ext cx="4640589" cy="667428"/>
        </a:xfrm>
        <a:prstGeom prst="roundRect">
          <a:avLst>
            <a:gd name="adj" fmla="val 32667"/>
          </a:avLst>
        </a:prstGeom>
        <a:solidFill>
          <a:schemeClr val="accent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b="1"/>
            <a:t>Volume Difference</a:t>
          </a:r>
        </a:p>
      </xdr:txBody>
    </xdr:sp>
    <xdr:clientData/>
  </xdr:twoCellAnchor>
  <xdr:twoCellAnchor>
    <xdr:from>
      <xdr:col>6</xdr:col>
      <xdr:colOff>41928</xdr:colOff>
      <xdr:row>14</xdr:row>
      <xdr:rowOff>418061</xdr:rowOff>
    </xdr:from>
    <xdr:to>
      <xdr:col>7</xdr:col>
      <xdr:colOff>0</xdr:colOff>
      <xdr:row>19</xdr:row>
      <xdr:rowOff>152786</xdr:rowOff>
    </xdr:to>
    <xdr:sp macro="" textlink="G85">
      <xdr:nvSpPr>
        <xdr:cNvPr id="4" name="Rectangle: Rounded Corners 3">
          <a:extLst>
            <a:ext uri="{FF2B5EF4-FFF2-40B4-BE49-F238E27FC236}">
              <a16:creationId xmlns:a16="http://schemas.microsoft.com/office/drawing/2014/main" id="{5B10B998-D041-457D-B8E8-19E33C03C448}"/>
            </a:ext>
          </a:extLst>
        </xdr:cNvPr>
        <xdr:cNvSpPr/>
      </xdr:nvSpPr>
      <xdr:spPr>
        <a:xfrm>
          <a:off x="7317214" y="5452704"/>
          <a:ext cx="4248857" cy="1077296"/>
        </a:xfrm>
        <a:prstGeom prst="roundRect">
          <a:avLst/>
        </a:prstGeom>
        <a:ln w="28575">
          <a:solidFill>
            <a:schemeClr val="tx1"/>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b"/>
        <a:lstStyle/>
        <a:p>
          <a:pPr algn="ctr"/>
          <a:fld id="{4BEEB761-D0F7-4B5A-A75F-6CF0D415ED64}" type="TxLink">
            <a:rPr lang="en-US" sz="2800" b="1" i="0" u="none" strike="noStrike" baseline="0">
              <a:solidFill>
                <a:schemeClr val="bg1"/>
              </a:solidFill>
              <a:effectLst/>
              <a:latin typeface="Calibri"/>
              <a:ea typeface="Calibri"/>
              <a:cs typeface="Calibri"/>
            </a:rPr>
            <a:pPr algn="ctr"/>
            <a:t> 3,36,85,051.00 </a:t>
          </a:fld>
          <a:endParaRPr lang="en-IN" sz="13800" b="1" i="0" u="none" strike="noStrike" baseline="0">
            <a:solidFill>
              <a:schemeClr val="bg1"/>
            </a:solidFill>
            <a:effectLst/>
            <a:latin typeface="+mn-lt"/>
            <a:ea typeface="+mn-ea"/>
            <a:cs typeface="+mn-cs"/>
          </a:endParaRPr>
        </a:p>
      </xdr:txBody>
    </xdr:sp>
    <xdr:clientData/>
  </xdr:twoCellAnchor>
  <xdr:twoCellAnchor>
    <xdr:from>
      <xdr:col>6</xdr:col>
      <xdr:colOff>42795</xdr:colOff>
      <xdr:row>15</xdr:row>
      <xdr:rowOff>906</xdr:rowOff>
    </xdr:from>
    <xdr:to>
      <xdr:col>7</xdr:col>
      <xdr:colOff>4958</xdr:colOff>
      <xdr:row>17</xdr:row>
      <xdr:rowOff>90714</xdr:rowOff>
    </xdr:to>
    <xdr:sp macro="" textlink="">
      <xdr:nvSpPr>
        <xdr:cNvPr id="5" name="Rectangle: Rounded Corners 4">
          <a:extLst>
            <a:ext uri="{FF2B5EF4-FFF2-40B4-BE49-F238E27FC236}">
              <a16:creationId xmlns:a16="http://schemas.microsoft.com/office/drawing/2014/main" id="{C2D108FE-F7A7-4AFB-BF91-5BFE50E3CE44}"/>
            </a:ext>
          </a:extLst>
        </xdr:cNvPr>
        <xdr:cNvSpPr/>
      </xdr:nvSpPr>
      <xdr:spPr>
        <a:xfrm>
          <a:off x="7318081" y="5461906"/>
          <a:ext cx="4252948" cy="643165"/>
        </a:xfrm>
        <a:prstGeom prst="roundRect">
          <a:avLst>
            <a:gd name="adj" fmla="val 32667"/>
          </a:avLst>
        </a:prstGeom>
        <a:solidFill>
          <a:schemeClr val="accent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b="1"/>
            <a:t>Market Cap Difference</a:t>
          </a:r>
        </a:p>
      </xdr:txBody>
    </xdr:sp>
    <xdr:clientData/>
  </xdr:twoCellAnchor>
  <xdr:twoCellAnchor>
    <xdr:from>
      <xdr:col>8</xdr:col>
      <xdr:colOff>49372</xdr:colOff>
      <xdr:row>14</xdr:row>
      <xdr:rowOff>404315</xdr:rowOff>
    </xdr:from>
    <xdr:to>
      <xdr:col>9</xdr:col>
      <xdr:colOff>0</xdr:colOff>
      <xdr:row>19</xdr:row>
      <xdr:rowOff>165641</xdr:rowOff>
    </xdr:to>
    <xdr:sp macro="" textlink="G86">
      <xdr:nvSpPr>
        <xdr:cNvPr id="6" name="Rectangle: Rounded Corners 5">
          <a:extLst>
            <a:ext uri="{FF2B5EF4-FFF2-40B4-BE49-F238E27FC236}">
              <a16:creationId xmlns:a16="http://schemas.microsoft.com/office/drawing/2014/main" id="{8251F816-2928-4462-AB17-F8AB705474BC}"/>
            </a:ext>
          </a:extLst>
        </xdr:cNvPr>
        <xdr:cNvSpPr/>
      </xdr:nvSpPr>
      <xdr:spPr>
        <a:xfrm>
          <a:off x="11969229" y="5438958"/>
          <a:ext cx="4468200" cy="1103897"/>
        </a:xfrm>
        <a:prstGeom prst="roundRect">
          <a:avLst/>
        </a:prstGeom>
        <a:ln w="28575">
          <a:solidFill>
            <a:schemeClr val="tx1"/>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b"/>
        <a:lstStyle/>
        <a:p>
          <a:pPr algn="ctr"/>
          <a:fld id="{D00FB99D-F70D-4A77-BA97-F28F480D04D2}" type="TxLink">
            <a:rPr lang="en-US" sz="2800" b="1" i="0" u="none" strike="noStrike" baseline="0">
              <a:solidFill>
                <a:schemeClr val="bg1"/>
              </a:solidFill>
              <a:effectLst/>
              <a:latin typeface="Calibri"/>
              <a:ea typeface="Calibri"/>
              <a:cs typeface="Calibri"/>
            </a:rPr>
            <a:pPr algn="ctr"/>
            <a:t> 96,45,40,000 </a:t>
          </a:fld>
          <a:endParaRPr lang="en-IN" sz="13800" b="1" i="0" u="none" strike="noStrike" baseline="0">
            <a:solidFill>
              <a:schemeClr val="bg1"/>
            </a:solidFill>
            <a:effectLst/>
            <a:latin typeface="+mn-lt"/>
            <a:ea typeface="+mn-ea"/>
            <a:cs typeface="+mn-cs"/>
          </a:endParaRPr>
        </a:p>
      </xdr:txBody>
    </xdr:sp>
    <xdr:clientData/>
  </xdr:twoCellAnchor>
  <xdr:twoCellAnchor>
    <xdr:from>
      <xdr:col>8</xdr:col>
      <xdr:colOff>50239</xdr:colOff>
      <xdr:row>14</xdr:row>
      <xdr:rowOff>422110</xdr:rowOff>
    </xdr:from>
    <xdr:to>
      <xdr:col>9</xdr:col>
      <xdr:colOff>3121</xdr:colOff>
      <xdr:row>17</xdr:row>
      <xdr:rowOff>54430</xdr:rowOff>
    </xdr:to>
    <xdr:sp macro="" textlink="">
      <xdr:nvSpPr>
        <xdr:cNvPr id="7" name="Rectangle: Rounded Corners 6">
          <a:extLst>
            <a:ext uri="{FF2B5EF4-FFF2-40B4-BE49-F238E27FC236}">
              <a16:creationId xmlns:a16="http://schemas.microsoft.com/office/drawing/2014/main" id="{79031A9D-4620-492D-A948-86ABAC9DDC1D}"/>
            </a:ext>
          </a:extLst>
        </xdr:cNvPr>
        <xdr:cNvSpPr/>
      </xdr:nvSpPr>
      <xdr:spPr>
        <a:xfrm>
          <a:off x="11970096" y="5456753"/>
          <a:ext cx="4470454" cy="612034"/>
        </a:xfrm>
        <a:prstGeom prst="roundRect">
          <a:avLst>
            <a:gd name="adj" fmla="val 32667"/>
          </a:avLst>
        </a:prstGeom>
        <a:solidFill>
          <a:schemeClr val="accent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b="1"/>
            <a:t>Circulating Supply Difference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927100</xdr:colOff>
      <xdr:row>1</xdr:row>
      <xdr:rowOff>75791</xdr:rowOff>
    </xdr:from>
    <xdr:to>
      <xdr:col>17</xdr:col>
      <xdr:colOff>504825</xdr:colOff>
      <xdr:row>42</xdr:row>
      <xdr:rowOff>45126</xdr:rowOff>
    </xdr:to>
    <xdr:graphicFrame macro="">
      <xdr:nvGraphicFramePr>
        <xdr:cNvPr id="4" name="Chart 3">
          <a:extLst>
            <a:ext uri="{FF2B5EF4-FFF2-40B4-BE49-F238E27FC236}">
              <a16:creationId xmlns:a16="http://schemas.microsoft.com/office/drawing/2014/main" id="{F5202E35-3C77-9F94-EC3B-ABE5498515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1182157</xdr:colOff>
      <xdr:row>2</xdr:row>
      <xdr:rowOff>48053</xdr:rowOff>
    </xdr:from>
    <xdr:to>
      <xdr:col>13</xdr:col>
      <xdr:colOff>603251</xdr:colOff>
      <xdr:row>7</xdr:row>
      <xdr:rowOff>17362</xdr:rowOff>
    </xdr:to>
    <mc:AlternateContent xmlns:mc="http://schemas.openxmlformats.org/markup-compatibility/2006" xmlns:a14="http://schemas.microsoft.com/office/drawing/2010/main">
      <mc:Choice Requires="a14">
        <xdr:graphicFrame macro="">
          <xdr:nvGraphicFramePr>
            <xdr:cNvPr id="2" name="Price Category">
              <a:extLst>
                <a:ext uri="{FF2B5EF4-FFF2-40B4-BE49-F238E27FC236}">
                  <a16:creationId xmlns:a16="http://schemas.microsoft.com/office/drawing/2014/main" id="{506CB21F-5F4B-81CB-3594-CEACC2F57F19}"/>
                </a:ext>
              </a:extLst>
            </xdr:cNvPr>
            <xdr:cNvGraphicFramePr/>
          </xdr:nvGraphicFramePr>
          <xdr:xfrm>
            <a:off x="0" y="0"/>
            <a:ext cx="0" cy="0"/>
          </xdr:xfrm>
          <a:graphic>
            <a:graphicData uri="http://schemas.microsoft.com/office/drawing/2010/slicer">
              <sle:slicer xmlns:sle="http://schemas.microsoft.com/office/drawing/2010/slicer" name="Price Category"/>
            </a:graphicData>
          </a:graphic>
        </xdr:graphicFrame>
      </mc:Choice>
      <mc:Fallback xmlns="">
        <xdr:sp macro="" textlink="">
          <xdr:nvSpPr>
            <xdr:cNvPr id="0" name=""/>
            <xdr:cNvSpPr>
              <a:spLocks noTextEdit="1"/>
            </xdr:cNvSpPr>
          </xdr:nvSpPr>
          <xdr:spPr>
            <a:xfrm>
              <a:off x="4251324" y="429053"/>
              <a:ext cx="9115426" cy="86889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xdr:col>
      <xdr:colOff>735265</xdr:colOff>
      <xdr:row>14</xdr:row>
      <xdr:rowOff>143855</xdr:rowOff>
    </xdr:from>
    <xdr:to>
      <xdr:col>10</xdr:col>
      <xdr:colOff>2913531</xdr:colOff>
      <xdr:row>35</xdr:row>
      <xdr:rowOff>1456766</xdr:rowOff>
    </xdr:to>
    <xdr:graphicFrame macro="">
      <xdr:nvGraphicFramePr>
        <xdr:cNvPr id="2" name="Chart 1">
          <a:extLst>
            <a:ext uri="{FF2B5EF4-FFF2-40B4-BE49-F238E27FC236}">
              <a16:creationId xmlns:a16="http://schemas.microsoft.com/office/drawing/2014/main" id="{D98D4821-363C-1F4A-F609-C5AB672852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2296831</xdr:colOff>
      <xdr:row>13</xdr:row>
      <xdr:rowOff>112060</xdr:rowOff>
    </xdr:from>
    <xdr:to>
      <xdr:col>5</xdr:col>
      <xdr:colOff>39367</xdr:colOff>
      <xdr:row>24</xdr:row>
      <xdr:rowOff>607432</xdr:rowOff>
    </xdr:to>
    <mc:AlternateContent xmlns:mc="http://schemas.openxmlformats.org/markup-compatibility/2006" xmlns:a14="http://schemas.microsoft.com/office/drawing/2010/main">
      <mc:Choice Requires="a14">
        <xdr:graphicFrame macro="">
          <xdr:nvGraphicFramePr>
            <xdr:cNvPr id="3" name="Price Range">
              <a:extLst>
                <a:ext uri="{FF2B5EF4-FFF2-40B4-BE49-F238E27FC236}">
                  <a16:creationId xmlns:a16="http://schemas.microsoft.com/office/drawing/2014/main" id="{5B695DF7-49A8-ACD7-697C-D3E15657B5FC}"/>
                </a:ext>
              </a:extLst>
            </xdr:cNvPr>
            <xdr:cNvGraphicFramePr/>
          </xdr:nvGraphicFramePr>
          <xdr:xfrm>
            <a:off x="0" y="0"/>
            <a:ext cx="0" cy="0"/>
          </xdr:xfrm>
          <a:graphic>
            <a:graphicData uri="http://schemas.microsoft.com/office/drawing/2010/slicer">
              <sle:slicer xmlns:sle="http://schemas.microsoft.com/office/drawing/2010/slicer" name="Price Range"/>
            </a:graphicData>
          </a:graphic>
        </xdr:graphicFrame>
      </mc:Choice>
      <mc:Fallback xmlns="">
        <xdr:sp macro="" textlink="">
          <xdr:nvSpPr>
            <xdr:cNvPr id="0" name=""/>
            <xdr:cNvSpPr>
              <a:spLocks noTextEdit="1"/>
            </xdr:cNvSpPr>
          </xdr:nvSpPr>
          <xdr:spPr>
            <a:xfrm>
              <a:off x="4830481" y="4493560"/>
              <a:ext cx="18164136" cy="34163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4</xdr:col>
      <xdr:colOff>601045</xdr:colOff>
      <xdr:row>10</xdr:row>
      <xdr:rowOff>186703</xdr:rowOff>
    </xdr:from>
    <xdr:to>
      <xdr:col>10</xdr:col>
      <xdr:colOff>195988</xdr:colOff>
      <xdr:row>25</xdr:row>
      <xdr:rowOff>242267</xdr:rowOff>
    </xdr:to>
    <xdr:graphicFrame macro="">
      <xdr:nvGraphicFramePr>
        <xdr:cNvPr id="2" name="Chart 1">
          <a:extLst>
            <a:ext uri="{FF2B5EF4-FFF2-40B4-BE49-F238E27FC236}">
              <a16:creationId xmlns:a16="http://schemas.microsoft.com/office/drawing/2014/main" id="{9FFF7D60-7FE0-B788-6A3A-D729938D3D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608012</xdr:colOff>
      <xdr:row>3</xdr:row>
      <xdr:rowOff>71438</xdr:rowOff>
    </xdr:from>
    <xdr:to>
      <xdr:col>10</xdr:col>
      <xdr:colOff>314957</xdr:colOff>
      <xdr:row>8</xdr:row>
      <xdr:rowOff>191422</xdr:rowOff>
    </xdr:to>
    <mc:AlternateContent xmlns:mc="http://schemas.openxmlformats.org/markup-compatibility/2006" xmlns:a14="http://schemas.microsoft.com/office/drawing/2010/main">
      <mc:Choice Requires="a14">
        <xdr:graphicFrame macro="">
          <xdr:nvGraphicFramePr>
            <xdr:cNvPr id="3" name="Price Range 2">
              <a:extLst>
                <a:ext uri="{FF2B5EF4-FFF2-40B4-BE49-F238E27FC236}">
                  <a16:creationId xmlns:a16="http://schemas.microsoft.com/office/drawing/2014/main" id="{40B29756-E1A7-1121-E0F4-C667E27A8670}"/>
                </a:ext>
              </a:extLst>
            </xdr:cNvPr>
            <xdr:cNvGraphicFramePr/>
          </xdr:nvGraphicFramePr>
          <xdr:xfrm>
            <a:off x="0" y="0"/>
            <a:ext cx="0" cy="0"/>
          </xdr:xfrm>
          <a:graphic>
            <a:graphicData uri="http://schemas.microsoft.com/office/drawing/2010/slicer">
              <sle:slicer xmlns:sle="http://schemas.microsoft.com/office/drawing/2010/slicer" name="Price Range 2"/>
            </a:graphicData>
          </a:graphic>
        </xdr:graphicFrame>
      </mc:Choice>
      <mc:Fallback xmlns="">
        <xdr:sp macro="" textlink="">
          <xdr:nvSpPr>
            <xdr:cNvPr id="0" name=""/>
            <xdr:cNvSpPr>
              <a:spLocks noTextEdit="1"/>
            </xdr:cNvSpPr>
          </xdr:nvSpPr>
          <xdr:spPr>
            <a:xfrm>
              <a:off x="4942577" y="807670"/>
              <a:ext cx="5323832" cy="97585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1233187</xdr:colOff>
      <xdr:row>4</xdr:row>
      <xdr:rowOff>83504</xdr:rowOff>
    </xdr:from>
    <xdr:to>
      <xdr:col>15</xdr:col>
      <xdr:colOff>85368</xdr:colOff>
      <xdr:row>11</xdr:row>
      <xdr:rowOff>91286</xdr:rowOff>
    </xdr:to>
    <mc:AlternateContent xmlns:mc="http://schemas.openxmlformats.org/markup-compatibility/2006" xmlns:a14="http://schemas.microsoft.com/office/drawing/2010/main">
      <mc:Choice Requires="a14">
        <xdr:graphicFrame macro="">
          <xdr:nvGraphicFramePr>
            <xdr:cNvPr id="2" name="Price Range 1">
              <a:extLst>
                <a:ext uri="{FF2B5EF4-FFF2-40B4-BE49-F238E27FC236}">
                  <a16:creationId xmlns:a16="http://schemas.microsoft.com/office/drawing/2014/main" id="{669FDB02-EE36-5B74-EDCE-5403A151D984}"/>
                </a:ext>
              </a:extLst>
            </xdr:cNvPr>
            <xdr:cNvGraphicFramePr/>
          </xdr:nvGraphicFramePr>
          <xdr:xfrm>
            <a:off x="0" y="0"/>
            <a:ext cx="0" cy="0"/>
          </xdr:xfrm>
          <a:graphic>
            <a:graphicData uri="http://schemas.microsoft.com/office/drawing/2010/slicer">
              <sle:slicer xmlns:sle="http://schemas.microsoft.com/office/drawing/2010/slicer" name="Price Range 1"/>
            </a:graphicData>
          </a:graphic>
        </xdr:graphicFrame>
      </mc:Choice>
      <mc:Fallback xmlns="">
        <xdr:sp macro="" textlink="">
          <xdr:nvSpPr>
            <xdr:cNvPr id="0" name=""/>
            <xdr:cNvSpPr>
              <a:spLocks noTextEdit="1"/>
            </xdr:cNvSpPr>
          </xdr:nvSpPr>
          <xdr:spPr>
            <a:xfrm>
              <a:off x="6865361" y="1344301"/>
              <a:ext cx="8503479" cy="12961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104</xdr:colOff>
      <xdr:row>13</xdr:row>
      <xdr:rowOff>15412</xdr:rowOff>
    </xdr:from>
    <xdr:to>
      <xdr:col>5</xdr:col>
      <xdr:colOff>276087</xdr:colOff>
      <xdr:row>18</xdr:row>
      <xdr:rowOff>147247</xdr:rowOff>
    </xdr:to>
    <xdr:sp macro="" textlink="A208">
      <xdr:nvSpPr>
        <xdr:cNvPr id="3" name="Rectangle: Rounded Corners 2">
          <a:extLst>
            <a:ext uri="{FF2B5EF4-FFF2-40B4-BE49-F238E27FC236}">
              <a16:creationId xmlns:a16="http://schemas.microsoft.com/office/drawing/2014/main" id="{591512F6-DCDA-4BA3-9ECA-4BB171F3A456}"/>
            </a:ext>
          </a:extLst>
        </xdr:cNvPr>
        <xdr:cNvSpPr/>
      </xdr:nvSpPr>
      <xdr:spPr>
        <a:xfrm>
          <a:off x="8264307" y="2408166"/>
          <a:ext cx="2595113" cy="1052124"/>
        </a:xfrm>
        <a:prstGeom prst="roundRect">
          <a:avLst/>
        </a:prstGeom>
        <a:ln w="28575">
          <a:solidFill>
            <a:schemeClr val="tx1"/>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b"/>
        <a:lstStyle/>
        <a:p>
          <a:pPr algn="ctr"/>
          <a:fld id="{A4C21513-5CE5-499B-AEAE-FBE80160D28C}" type="TxLink">
            <a:rPr lang="en-US" sz="2400" b="1" i="0" u="none" strike="noStrike" baseline="0">
              <a:solidFill>
                <a:schemeClr val="bg1"/>
              </a:solidFill>
              <a:effectLst/>
              <a:latin typeface="Calibri"/>
              <a:ea typeface="Calibri"/>
              <a:cs typeface="Calibri"/>
            </a:rPr>
            <a:pPr algn="ctr"/>
            <a:t>Bitcoin Diamond</a:t>
          </a:fld>
          <a:endParaRPr lang="en-IN" sz="41300" b="1" i="0" u="none" strike="noStrike" baseline="0">
            <a:solidFill>
              <a:schemeClr val="bg1"/>
            </a:solidFill>
            <a:effectLst/>
            <a:latin typeface="+mn-lt"/>
            <a:ea typeface="+mn-ea"/>
            <a:cs typeface="+mn-cs"/>
          </a:endParaRPr>
        </a:p>
      </xdr:txBody>
    </xdr:sp>
    <xdr:clientData/>
  </xdr:twoCellAnchor>
  <xdr:twoCellAnchor>
    <xdr:from>
      <xdr:col>3</xdr:col>
      <xdr:colOff>5995</xdr:colOff>
      <xdr:row>13</xdr:row>
      <xdr:rowOff>13842</xdr:rowOff>
    </xdr:from>
    <xdr:to>
      <xdr:col>5</xdr:col>
      <xdr:colOff>283538</xdr:colOff>
      <xdr:row>16</xdr:row>
      <xdr:rowOff>0</xdr:rowOff>
    </xdr:to>
    <xdr:sp macro="" textlink="">
      <xdr:nvSpPr>
        <xdr:cNvPr id="4" name="Rectangle: Rounded Corners 3">
          <a:extLst>
            <a:ext uri="{FF2B5EF4-FFF2-40B4-BE49-F238E27FC236}">
              <a16:creationId xmlns:a16="http://schemas.microsoft.com/office/drawing/2014/main" id="{3191277E-8A94-4DBC-82E3-E38C52E9211A}"/>
            </a:ext>
          </a:extLst>
        </xdr:cNvPr>
        <xdr:cNvSpPr/>
      </xdr:nvSpPr>
      <xdr:spPr>
        <a:xfrm>
          <a:off x="6871357" y="2931161"/>
          <a:ext cx="2596674" cy="538332"/>
        </a:xfrm>
        <a:prstGeom prst="roundRect">
          <a:avLst>
            <a:gd name="adj" fmla="val 32667"/>
          </a:avLst>
        </a:prstGeom>
        <a:solidFill>
          <a:schemeClr val="accent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t>Coin Name</a:t>
          </a:r>
        </a:p>
      </xdr:txBody>
    </xdr:sp>
    <xdr:clientData/>
  </xdr:twoCellAnchor>
  <xdr:twoCellAnchor>
    <xdr:from>
      <xdr:col>5</xdr:col>
      <xdr:colOff>591657</xdr:colOff>
      <xdr:row>13</xdr:row>
      <xdr:rowOff>22055</xdr:rowOff>
    </xdr:from>
    <xdr:to>
      <xdr:col>10</xdr:col>
      <xdr:colOff>154805</xdr:colOff>
      <xdr:row>18</xdr:row>
      <xdr:rowOff>147247</xdr:rowOff>
    </xdr:to>
    <xdr:sp macro="" textlink="A209">
      <xdr:nvSpPr>
        <xdr:cNvPr id="5" name="Rectangle: Rounded Corners 4">
          <a:extLst>
            <a:ext uri="{FF2B5EF4-FFF2-40B4-BE49-F238E27FC236}">
              <a16:creationId xmlns:a16="http://schemas.microsoft.com/office/drawing/2014/main" id="{9E33E73B-1115-44AE-AC7F-2E222B0C08E0}"/>
            </a:ext>
          </a:extLst>
        </xdr:cNvPr>
        <xdr:cNvSpPr/>
      </xdr:nvSpPr>
      <xdr:spPr>
        <a:xfrm>
          <a:off x="11174990" y="2414809"/>
          <a:ext cx="2600105" cy="1045481"/>
        </a:xfrm>
        <a:prstGeom prst="roundRect">
          <a:avLst/>
        </a:prstGeom>
        <a:ln w="28575">
          <a:solidFill>
            <a:schemeClr val="tx1"/>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b"/>
        <a:lstStyle/>
        <a:p>
          <a:pPr algn="ctr"/>
          <a:fld id="{F15B05E9-75E7-42FE-974F-4404D0A688C5}" type="TxLink">
            <a:rPr lang="en-US" sz="2400" b="1" i="0" u="none" strike="noStrike" baseline="0">
              <a:solidFill>
                <a:schemeClr val="bg1"/>
              </a:solidFill>
              <a:effectLst/>
              <a:latin typeface="Calibri"/>
              <a:ea typeface="Calibri"/>
              <a:cs typeface="Calibri"/>
            </a:rPr>
            <a:pPr algn="ctr"/>
            <a:t>BCD</a:t>
          </a:fld>
          <a:endParaRPr lang="en-IN" sz="231500" b="1" i="0" u="none" strike="noStrike" baseline="0">
            <a:solidFill>
              <a:schemeClr val="bg1"/>
            </a:solidFill>
            <a:effectLst/>
            <a:latin typeface="+mn-lt"/>
            <a:ea typeface="+mn-ea"/>
            <a:cs typeface="+mn-cs"/>
          </a:endParaRPr>
        </a:p>
      </xdr:txBody>
    </xdr:sp>
    <xdr:clientData/>
  </xdr:twoCellAnchor>
  <xdr:twoCellAnchor>
    <xdr:from>
      <xdr:col>6</xdr:col>
      <xdr:colOff>2441</xdr:colOff>
      <xdr:row>13</xdr:row>
      <xdr:rowOff>20484</xdr:rowOff>
    </xdr:from>
    <xdr:to>
      <xdr:col>10</xdr:col>
      <xdr:colOff>165652</xdr:colOff>
      <xdr:row>16</xdr:row>
      <xdr:rowOff>17379</xdr:rowOff>
    </xdr:to>
    <xdr:sp macro="" textlink="">
      <xdr:nvSpPr>
        <xdr:cNvPr id="6" name="Rectangle: Rounded Corners 5">
          <a:extLst>
            <a:ext uri="{FF2B5EF4-FFF2-40B4-BE49-F238E27FC236}">
              <a16:creationId xmlns:a16="http://schemas.microsoft.com/office/drawing/2014/main" id="{2F3739C1-2639-4F0A-9CBB-A121C6C189FC}"/>
            </a:ext>
          </a:extLst>
        </xdr:cNvPr>
        <xdr:cNvSpPr/>
      </xdr:nvSpPr>
      <xdr:spPr>
        <a:xfrm>
          <a:off x="11193166" y="2413238"/>
          <a:ext cx="2592776" cy="549069"/>
        </a:xfrm>
        <a:prstGeom prst="roundRect">
          <a:avLst>
            <a:gd name="adj" fmla="val 32667"/>
          </a:avLst>
        </a:prstGeom>
        <a:solidFill>
          <a:schemeClr val="accent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t>Symbol</a:t>
          </a:r>
        </a:p>
      </xdr:txBody>
    </xdr:sp>
    <xdr:clientData/>
  </xdr:twoCellAnchor>
  <xdr:twoCellAnchor>
    <xdr:from>
      <xdr:col>10</xdr:col>
      <xdr:colOff>460144</xdr:colOff>
      <xdr:row>12</xdr:row>
      <xdr:rowOff>176425</xdr:rowOff>
    </xdr:from>
    <xdr:to>
      <xdr:col>15</xdr:col>
      <xdr:colOff>99792</xdr:colOff>
      <xdr:row>18</xdr:row>
      <xdr:rowOff>156449</xdr:rowOff>
    </xdr:to>
    <xdr:sp macro="" textlink="C208">
      <xdr:nvSpPr>
        <xdr:cNvPr id="7" name="Rectangle: Rounded Corners 6">
          <a:extLst>
            <a:ext uri="{FF2B5EF4-FFF2-40B4-BE49-F238E27FC236}">
              <a16:creationId xmlns:a16="http://schemas.microsoft.com/office/drawing/2014/main" id="{3FDB7040-06DA-45B4-A767-EA605A8AA937}"/>
            </a:ext>
          </a:extLst>
        </xdr:cNvPr>
        <xdr:cNvSpPr/>
      </xdr:nvSpPr>
      <xdr:spPr>
        <a:xfrm>
          <a:off x="12681593" y="2909686"/>
          <a:ext cx="2676605" cy="1084372"/>
        </a:xfrm>
        <a:prstGeom prst="roundRect">
          <a:avLst/>
        </a:prstGeom>
        <a:ln w="28575">
          <a:solidFill>
            <a:schemeClr val="tx1"/>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b"/>
        <a:lstStyle/>
        <a:p>
          <a:pPr algn="ctr"/>
          <a:fld id="{92D7762C-2BB8-4FF3-892A-81B25AA2FB2F}" type="TxLink">
            <a:rPr lang="en-US" sz="2400" b="1" i="0" u="none" strike="noStrike" baseline="0">
              <a:solidFill>
                <a:schemeClr val="bg1"/>
              </a:solidFill>
              <a:effectLst/>
              <a:latin typeface="Calibri"/>
              <a:ea typeface="Calibri"/>
              <a:cs typeface="Calibri"/>
            </a:rPr>
            <a:pPr algn="ctr"/>
            <a:t> $0.0632 </a:t>
          </a:fld>
          <a:endParaRPr lang="en-IN" sz="231500" b="1" i="0" u="none" strike="noStrike" baseline="0">
            <a:solidFill>
              <a:schemeClr val="bg1"/>
            </a:solidFill>
            <a:effectLst/>
            <a:latin typeface="+mn-lt"/>
            <a:ea typeface="+mn-ea"/>
            <a:cs typeface="+mn-cs"/>
          </a:endParaRPr>
        </a:p>
      </xdr:txBody>
    </xdr:sp>
    <xdr:clientData/>
  </xdr:twoCellAnchor>
  <xdr:twoCellAnchor>
    <xdr:from>
      <xdr:col>10</xdr:col>
      <xdr:colOff>478320</xdr:colOff>
      <xdr:row>12</xdr:row>
      <xdr:rowOff>174854</xdr:rowOff>
    </xdr:from>
    <xdr:to>
      <xdr:col>15</xdr:col>
      <xdr:colOff>110435</xdr:colOff>
      <xdr:row>16</xdr:row>
      <xdr:rowOff>8115</xdr:rowOff>
    </xdr:to>
    <xdr:sp macro="" textlink="">
      <xdr:nvSpPr>
        <xdr:cNvPr id="8" name="Rectangle: Rounded Corners 7">
          <a:extLst>
            <a:ext uri="{FF2B5EF4-FFF2-40B4-BE49-F238E27FC236}">
              <a16:creationId xmlns:a16="http://schemas.microsoft.com/office/drawing/2014/main" id="{5B696031-F2E3-487F-A76D-6F21E6298A36}"/>
            </a:ext>
          </a:extLst>
        </xdr:cNvPr>
        <xdr:cNvSpPr/>
      </xdr:nvSpPr>
      <xdr:spPr>
        <a:xfrm>
          <a:off x="12699769" y="2908115"/>
          <a:ext cx="2669072" cy="569493"/>
        </a:xfrm>
        <a:prstGeom prst="roundRect">
          <a:avLst>
            <a:gd name="adj" fmla="val 32667"/>
          </a:avLst>
        </a:prstGeom>
        <a:solidFill>
          <a:schemeClr val="accent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t>Price</a:t>
          </a:r>
        </a:p>
      </xdr:txBody>
    </xdr:sp>
    <xdr:clientData/>
  </xdr:twoCellAnchor>
  <xdr:twoCellAnchor>
    <xdr:from>
      <xdr:col>3</xdr:col>
      <xdr:colOff>1398841</xdr:colOff>
      <xdr:row>20</xdr:row>
      <xdr:rowOff>158022</xdr:rowOff>
    </xdr:from>
    <xdr:to>
      <xdr:col>7</xdr:col>
      <xdr:colOff>450942</xdr:colOff>
      <xdr:row>26</xdr:row>
      <xdr:rowOff>165654</xdr:rowOff>
    </xdr:to>
    <xdr:sp macro="" textlink="B208">
      <xdr:nvSpPr>
        <xdr:cNvPr id="9" name="Rectangle: Rounded Corners 8">
          <a:extLst>
            <a:ext uri="{FF2B5EF4-FFF2-40B4-BE49-F238E27FC236}">
              <a16:creationId xmlns:a16="http://schemas.microsoft.com/office/drawing/2014/main" id="{B42DC5BE-8319-4E38-AC79-4E061CBED067}"/>
            </a:ext>
          </a:extLst>
        </xdr:cNvPr>
        <xdr:cNvSpPr/>
      </xdr:nvSpPr>
      <xdr:spPr>
        <a:xfrm>
          <a:off x="9663044" y="3839181"/>
          <a:ext cx="2586014" cy="1111980"/>
        </a:xfrm>
        <a:prstGeom prst="roundRect">
          <a:avLst/>
        </a:prstGeom>
        <a:ln w="28575">
          <a:solidFill>
            <a:schemeClr val="tx1"/>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b"/>
        <a:lstStyle/>
        <a:p>
          <a:pPr algn="ctr"/>
          <a:fld id="{70175E21-AEC8-4FB1-8872-8ADF069E9DCB}" type="TxLink">
            <a:rPr lang="en-US" sz="2400" b="1" i="0" u="none" strike="noStrike" baseline="0">
              <a:solidFill>
                <a:schemeClr val="bg1"/>
              </a:solidFill>
              <a:effectLst/>
              <a:latin typeface="Calibri"/>
              <a:ea typeface="Calibri"/>
              <a:cs typeface="Calibri"/>
            </a:rPr>
            <a:pPr algn="ctr"/>
            <a:t>0.0000%</a:t>
          </a:fld>
          <a:endParaRPr lang="en-IN" sz="231500" b="1" i="0" u="none" strike="noStrike" baseline="0">
            <a:solidFill>
              <a:schemeClr val="bg1"/>
            </a:solidFill>
            <a:effectLst/>
            <a:latin typeface="+mn-lt"/>
            <a:ea typeface="+mn-ea"/>
            <a:cs typeface="+mn-cs"/>
          </a:endParaRPr>
        </a:p>
      </xdr:txBody>
    </xdr:sp>
    <xdr:clientData/>
  </xdr:twoCellAnchor>
  <xdr:twoCellAnchor>
    <xdr:from>
      <xdr:col>3</xdr:col>
      <xdr:colOff>1417015</xdr:colOff>
      <xdr:row>20</xdr:row>
      <xdr:rowOff>156450</xdr:rowOff>
    </xdr:from>
    <xdr:to>
      <xdr:col>7</xdr:col>
      <xdr:colOff>461838</xdr:colOff>
      <xdr:row>24</xdr:row>
      <xdr:rowOff>4211</xdr:rowOff>
    </xdr:to>
    <xdr:sp macro="" textlink="">
      <xdr:nvSpPr>
        <xdr:cNvPr id="10" name="Rectangle: Rounded Corners 9">
          <a:extLst>
            <a:ext uri="{FF2B5EF4-FFF2-40B4-BE49-F238E27FC236}">
              <a16:creationId xmlns:a16="http://schemas.microsoft.com/office/drawing/2014/main" id="{D4D67C0A-E517-4286-B6A3-C5D56704980C}"/>
            </a:ext>
          </a:extLst>
        </xdr:cNvPr>
        <xdr:cNvSpPr/>
      </xdr:nvSpPr>
      <xdr:spPr>
        <a:xfrm>
          <a:off x="9681218" y="3837609"/>
          <a:ext cx="2578736" cy="583993"/>
        </a:xfrm>
        <a:prstGeom prst="roundRect">
          <a:avLst>
            <a:gd name="adj" fmla="val 32667"/>
          </a:avLst>
        </a:prstGeom>
        <a:solidFill>
          <a:schemeClr val="accent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t>Avg Downfall %</a:t>
          </a:r>
        </a:p>
      </xdr:txBody>
    </xdr:sp>
    <xdr:clientData/>
  </xdr:twoCellAnchor>
  <xdr:twoCellAnchor>
    <xdr:from>
      <xdr:col>8</xdr:col>
      <xdr:colOff>450942</xdr:colOff>
      <xdr:row>21</xdr:row>
      <xdr:rowOff>1572</xdr:rowOff>
    </xdr:from>
    <xdr:to>
      <xdr:col>12</xdr:col>
      <xdr:colOff>570580</xdr:colOff>
      <xdr:row>26</xdr:row>
      <xdr:rowOff>156449</xdr:rowOff>
    </xdr:to>
    <xdr:sp macro="" textlink="Z7">
      <xdr:nvSpPr>
        <xdr:cNvPr id="11" name="Rectangle: Rounded Corners 10">
          <a:extLst>
            <a:ext uri="{FF2B5EF4-FFF2-40B4-BE49-F238E27FC236}">
              <a16:creationId xmlns:a16="http://schemas.microsoft.com/office/drawing/2014/main" id="{6F6A5916-763E-403F-93DF-9DDFFDE84E18}"/>
            </a:ext>
          </a:extLst>
        </xdr:cNvPr>
        <xdr:cNvSpPr/>
      </xdr:nvSpPr>
      <xdr:spPr>
        <a:xfrm>
          <a:off x="12856449" y="3866789"/>
          <a:ext cx="2549203" cy="1075167"/>
        </a:xfrm>
        <a:prstGeom prst="roundRect">
          <a:avLst/>
        </a:prstGeom>
        <a:ln w="28575">
          <a:solidFill>
            <a:schemeClr val="tx1"/>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b"/>
        <a:lstStyle/>
        <a:p>
          <a:pPr algn="ctr"/>
          <a:fld id="{8B7E077F-6090-48D6-A652-22051946B88F}" type="TxLink">
            <a:rPr lang="en-US" sz="2400" b="1" i="0" u="none" strike="noStrike" baseline="0">
              <a:solidFill>
                <a:schemeClr val="bg1"/>
              </a:solidFill>
              <a:effectLst/>
              <a:latin typeface="Calibri"/>
              <a:ea typeface="Calibri"/>
              <a:cs typeface="Calibri"/>
            </a:rPr>
            <a:pPr algn="ctr"/>
            <a:t>296</a:t>
          </a:fld>
          <a:endParaRPr lang="en-US" sz="6600" b="1" i="0" u="none" strike="noStrike" baseline="0">
            <a:solidFill>
              <a:schemeClr val="bg1"/>
            </a:solidFill>
            <a:effectLst/>
            <a:latin typeface="Calibri"/>
            <a:ea typeface="Calibri"/>
            <a:cs typeface="Calibri"/>
          </a:endParaRPr>
        </a:p>
      </xdr:txBody>
    </xdr:sp>
    <xdr:clientData/>
  </xdr:twoCellAnchor>
  <xdr:twoCellAnchor>
    <xdr:from>
      <xdr:col>8</xdr:col>
      <xdr:colOff>469117</xdr:colOff>
      <xdr:row>21</xdr:row>
      <xdr:rowOff>1</xdr:rowOff>
    </xdr:from>
    <xdr:to>
      <xdr:col>12</xdr:col>
      <xdr:colOff>581581</xdr:colOff>
      <xdr:row>24</xdr:row>
      <xdr:rowOff>12486</xdr:rowOff>
    </xdr:to>
    <xdr:sp macro="" textlink="">
      <xdr:nvSpPr>
        <xdr:cNvPr id="12" name="Rectangle: Rounded Corners 11">
          <a:extLst>
            <a:ext uri="{FF2B5EF4-FFF2-40B4-BE49-F238E27FC236}">
              <a16:creationId xmlns:a16="http://schemas.microsoft.com/office/drawing/2014/main" id="{874FEA1C-0FC4-4A36-878E-039A17BD1DFD}"/>
            </a:ext>
          </a:extLst>
        </xdr:cNvPr>
        <xdr:cNvSpPr/>
      </xdr:nvSpPr>
      <xdr:spPr>
        <a:xfrm>
          <a:off x="12874624" y="3865218"/>
          <a:ext cx="2542029" cy="564659"/>
        </a:xfrm>
        <a:prstGeom prst="roundRect">
          <a:avLst>
            <a:gd name="adj" fmla="val 32667"/>
          </a:avLst>
        </a:prstGeom>
        <a:solidFill>
          <a:schemeClr val="accent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t>Total Coins</a:t>
          </a: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Sheet7"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7"/>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IT" refreshedDate="46183.471059143521" createdVersion="8" refreshedVersion="8" minRefreshableVersion="3" recordCount="300" xr:uid="{4E891BA4-65B0-483A-B6EC-4D00B84DDB09}">
  <cacheSource type="worksheet">
    <worksheetSource name="Sheet1__2"/>
  </cacheSource>
  <cacheFields count="11">
    <cacheField name="Coin Name" numFmtId="0">
      <sharedItems count="300">
        <s v="CoinMarketCap 20 Index DTF"/>
        <s v="Bitcoin"/>
        <s v="Ethereum"/>
        <s v="Tether"/>
        <s v="BNB"/>
        <s v="USDC"/>
        <s v="XRP"/>
        <s v="Solana"/>
        <s v="TRON"/>
        <s v="Hyperliquid"/>
        <s v="Dogecoin"/>
        <s v="UNUS SED LEO"/>
        <s v="Zcash"/>
        <s v="Stellar"/>
        <s v="Canton"/>
        <s v="Curve DAO Token"/>
        <s v="Jito"/>
        <s v="Celestia"/>
        <s v="SPX6900"/>
        <s v="BUILDon"/>
        <s v="Immutable"/>
        <s v="Tezos"/>
        <s v="ether.fi"/>
        <s v="BitTorrent [New]"/>
        <s v="AINFT"/>
        <s v="SKYAI"/>
        <s v="Chiliz"/>
        <s v="Zebec Network"/>
        <s v="Monad"/>
        <s v="Gnosis"/>
        <s v="Rain"/>
        <s v="LAB"/>
        <s v="Ondo US Dollar Yield"/>
        <s v="HTX"/>
        <s v="Falcon USD"/>
        <s v="c8ntinuum"/>
        <s v="Jupiter Perps LP"/>
        <s v="Beldex"/>
        <s v="GHO"/>
        <s v="TBLL tokenized ETF (xStock)"/>
        <s v="Usual USD"/>
        <s v="USDai"/>
        <s v="Solstice USX"/>
        <s v="Unibase"/>
        <s v="USDGO"/>
        <s v="Linde tokenized stock (xStock)"/>
        <s v="Berachain"/>
        <s v="Collector Crypt"/>
        <s v="Zama"/>
        <s v="Quack AI"/>
        <s v="Ravencoin"/>
        <s v="Huma Finance"/>
        <s v="Lumera Health"/>
        <s v="Light"/>
        <s v="GEODNET"/>
        <s v="Coca-Cola tokenized stock (xStock)"/>
        <s v="ECOMI"/>
        <s v="UnifAI Network"/>
        <s v="MultiBank Group"/>
        <s v="Yearn"/>
        <s v="Loaded Lions"/>
        <s v="TQQQ tokenized ETF (xStock)"/>
        <s v="Berkshire Hathaway tokenized stock (xStock)"/>
        <s v="Blur"/>
        <s v="Astar"/>
        <s v="Railgun"/>
        <s v="Ronin"/>
        <s v="Global X Copper Miners Tokenised ETF (xStock)"/>
        <s v="XYO"/>
        <s v="Lorenzo Protocol"/>
        <s v="Targon"/>
        <s v="DigiByte"/>
        <s v="SushiSwap"/>
        <s v="Gamestop tokenized stock (xStock)"/>
        <s v="Seeker"/>
        <s v="Marvell Technology Tokenized Stock (Ondo)"/>
        <s v="Ore"/>
        <s v="Invesco QQQ Tokenized ETF (Ondo)"/>
        <s v="Succinct"/>
        <s v="Mask Network"/>
        <s v="Manta Network"/>
        <s v="Glidr"/>
        <s v="Vitalum"/>
        <s v="Non-Playable Coin"/>
        <s v="World Mobile Token"/>
        <s v="ApeX Protocol"/>
        <s v="Casper"/>
        <s v="Yooldo"/>
        <s v="Status"/>
        <s v="Celo Dollar"/>
        <s v="Renzo"/>
        <s v="SKALE"/>
        <s v="Liquity USD"/>
        <s v="IOST"/>
        <s v="Salesforce tokenized stock (xStock)"/>
        <s v="Uquid Coin"/>
        <s v="Phala Network"/>
        <s v="SLIMEX"/>
        <s v="deBridge"/>
        <s v="Abbott tokenized stock (xStock)"/>
        <s v="Frax (prev. FXS)"/>
        <s v="BORA"/>
        <s v="Somnia"/>
        <s v="Neiro"/>
        <s v="MVL"/>
        <s v="DeBox"/>
        <s v="Anoma"/>
        <s v="Commonwealth"/>
        <s v="MiL.k"/>
        <s v="QANplatform"/>
        <s v="Brevis"/>
        <s v="Aergo"/>
        <s v="ArcBlock"/>
        <s v="Blast"/>
        <s v="SentismAI"/>
        <s v="SATS (Ordinals)"/>
        <s v="Shentu"/>
        <s v="Symbol"/>
        <s v="Sign"/>
        <s v="τemplar"/>
        <s v="SaucerSwap"/>
        <s v="Adshares"/>
        <s v="Orderly"/>
        <s v="FLock.io"/>
        <s v="Moonriver"/>
        <s v="Titan's Tap"/>
        <s v="Fulcrom Finance"/>
        <s v="DODO"/>
        <s v="Bitgo Tokenised Stock (xStock)"/>
        <s v="GUNZ"/>
        <s v="Caldera"/>
        <s v="Braintrust"/>
        <s v="Boundless"/>
        <s v="ISLM"/>
        <s v="DIA"/>
        <s v="Wayfinder"/>
        <s v="StakeStone"/>
        <s v="Alpha Quark Token"/>
        <s v="Origin Protocol"/>
        <s v="Simon's Cat"/>
        <s v="Bitcoin Diamond"/>
        <s v="GeorgePlaysClashRoyale"/>
        <s v="Ready Cards"/>
        <s v="CZ's Dog"/>
        <s v="Lumia"/>
        <s v="MicroStrategy Tokenized Stock (Ondo)"/>
        <s v="Fluent"/>
        <s v="Microsoft Tokenized Stock (Ondo)"/>
        <s v="HeyElsa"/>
        <s v="Taiwan Semiconductor Manufacturing Tokenized Stock (Ondo)"/>
        <s v="4"/>
        <s v="NetX"/>
        <s v="Intuition"/>
        <s v="Dymension"/>
        <s v="Alchemix"/>
        <s v="Vulcan Forged (PYR)"/>
        <s v="Orchid"/>
        <s v="Vanar Chain"/>
        <s v="Hegic"/>
        <s v="Bubblemaps"/>
        <s v="OWB"/>
        <s v="heyAura"/>
        <s v="Hashflow"/>
        <s v="Toko Token"/>
        <s v="Layer3"/>
        <s v="Gitcoin"/>
        <s v="CREPE"/>
        <s v="PepeCoin"/>
        <s v="Resistance Dog"/>
        <s v="CONX"/>
        <s v="QuickSwap [Old]"/>
        <s v="LOAN Protocol"/>
        <s v="ORIGYN"/>
        <s v="Zircuit"/>
        <s v="EVAA Protocol"/>
        <s v="RSS3"/>
        <s v="Heroes of Mavia"/>
        <s v="Scroll"/>
        <s v="Destra Network"/>
        <s v="AMO Coin"/>
        <s v="World3"/>
        <s v="Kryll"/>
        <s v="ProShares UltraPro QQQ Tokenized Stock (Ondo)"/>
        <s v="Galeon"/>
        <s v="Wexo"/>
        <s v="iShares Russell 2000 Value Tokenized ETF (Ondo)"/>
        <s v="DaGama World"/>
        <s v="Enzyme"/>
        <s v="Nomina"/>
        <s v="EarthMeta"/>
        <s v="Telos"/>
        <s v="Ika"/>
        <s v="ANDY (ETH)"/>
        <s v="AVA"/>
        <s v="PlatON"/>
        <s v="Portugal National Team Fan Token"/>
        <s v="PRIZM"/>
        <s v="Lockheed Tokenized Stock (Ondo)"/>
        <s v="SyncGPT"/>
        <s v="Altura"/>
        <s v="Steem Dollars"/>
        <s v="World of Dypians"/>
        <s v="Arsenal Fan Token"/>
        <s v="Purple Pepe"/>
        <s v="Inflation Hedging Coin"/>
        <s v="VitaDAO"/>
        <s v="Solana Name Service"/>
        <s v="Bluzelle"/>
        <s v="PussFi"/>
        <s v="Nakamoto Games"/>
        <s v="Aleph Cloud"/>
        <s v="Mumu the Bull (SOL)"/>
        <s v="Cisco Systems Tokenized Stock (Ondo)"/>
        <s v="Dragonchain"/>
        <s v="Epic Private Internet Cash"/>
        <s v="Ren"/>
        <s v="Decentrawood"/>
        <s v="Devve"/>
        <s v="Depinsim"/>
        <s v="Zeta"/>
        <s v="KARRAT"/>
        <s v="Nodle"/>
        <s v="Fautor"/>
        <s v="iShares Core S&amp;P MidCap Tokenized ETF (Ondo)"/>
        <s v="Cointel"/>
        <s v="Cook Finance"/>
        <s v="Novo Nordisk Tokenized Stock (Ondo)"/>
        <s v="Beam"/>
        <s v="Walmart Tokenized Stock (Ondo)"/>
        <s v="AGENDA 47"/>
        <s v="Validity"/>
        <s v="BRN Metaverse"/>
        <s v="Nietzschean Penguin"/>
        <s v="zkVerify"/>
        <s v="Pain (paintoken.com)"/>
        <s v="BabyShark"/>
        <s v="Metahero"/>
        <s v="Adappter Token"/>
        <s v="Reef"/>
        <s v="CreatorBid"/>
        <s v="IDEX"/>
        <s v="RICE AI"/>
        <s v="Reservoir"/>
        <s v="MANEKI"/>
        <s v="Paparazzi Token"/>
        <s v="sudeng"/>
        <s v="Dero"/>
        <s v="Mayflower AI"/>
        <s v="Toyota Tokenized Stock (Ondo)"/>
        <s v="Basenji"/>
        <s v="Kwenta"/>
        <s v="IREN Tokenized Stock (Ondo)"/>
        <s v="Block (blockstreet.xyz)"/>
        <s v="Altcoinist"/>
        <s v="Jesus Coin"/>
        <s v="Acet"/>
        <s v="Coherent Tokenized Stock (Ondo)"/>
        <s v="DeepBrain Chain"/>
        <s v="CoreWeave Tokenized Stock (Ondo)"/>
        <s v="SIGMA"/>
        <s v="Swash"/>
        <s v="StarSlax"/>
        <s v="DOPU The Dog with A Purpose"/>
        <s v="GT Protocol"/>
        <s v="Hachiko Inu"/>
        <s v="Ai Xovia"/>
        <s v="XL1"/>
        <s v="KYVE Network"/>
        <s v="Adobe Tokenized Stock (Ondo)"/>
        <s v="NodeOps"/>
        <s v="GMCoin"/>
        <s v="Costco Tokenized Stock (Ondo)"/>
        <s v="Wells Fargo Tokenized Stock (Ondo)"/>
        <s v="XDAG"/>
        <s v="Banxchange"/>
        <s v="Samoyedcoin"/>
        <s v="AllUnity EUR"/>
        <s v="OpenGPU"/>
        <s v="Azit"/>
        <s v="SALT"/>
        <s v="Obol"/>
        <s v="toyow"/>
        <s v="Creditlink"/>
        <s v="Areum"/>
        <s v="Lit Protocol"/>
        <s v="UNCX Network"/>
        <s v="DFI.Money"/>
        <s v="Pwease"/>
        <s v="KiloEx"/>
        <s v="Graphlinq Chain"/>
        <s v="AST SpaceMobile Tokenized Stock (Ondo)"/>
        <s v="Moon Tropica"/>
        <s v="Swarm Markets"/>
        <s v="WAR"/>
        <s v="Push Protocol"/>
        <s v="币安Holder"/>
        <s v="HyperCycle"/>
        <s v="VK Token"/>
        <s v="X-PASS"/>
        <s v="Rocket Lab Tokenized Stock (Ondo)"/>
      </sharedItems>
    </cacheField>
    <cacheField name="Symbol" numFmtId="0">
      <sharedItems count="300">
        <s v="CMC20"/>
        <s v="BTC"/>
        <s v="ETH"/>
        <s v="USDT"/>
        <s v="BNB"/>
        <s v="USDC"/>
        <s v="XRP"/>
        <s v="SOL"/>
        <s v="TRX"/>
        <s v="HYPE"/>
        <s v="DOGE"/>
        <s v="LEO"/>
        <s v="ZEC"/>
        <s v="XLM"/>
        <s v="CC"/>
        <s v="CRV"/>
        <s v="JTO"/>
        <s v="TIA"/>
        <s v="SPX"/>
        <s v="B"/>
        <s v="IMX"/>
        <s v="XTZ"/>
        <s v="ETHFI"/>
        <s v="BTT"/>
        <s v="NFT"/>
        <s v="SKYAI"/>
        <s v="CHZ"/>
        <s v="ZBCN"/>
        <s v="MON"/>
        <s v="GNO"/>
        <s v="RAIN"/>
        <s v="LAB"/>
        <s v="USDY"/>
        <s v="HTX"/>
        <s v="USDf"/>
        <s v="CTM"/>
        <s v="JLP"/>
        <s v="BDX"/>
        <s v="GHO"/>
        <s v="TBLLX"/>
        <s v="USD0"/>
        <s v="USDAI"/>
        <s v="USX"/>
        <s v="UB"/>
        <s v="USDGO"/>
        <s v="LINX"/>
        <s v="BERA"/>
        <s v="CARDS"/>
        <s v="ZAMA"/>
        <s v="Q"/>
        <s v="RVN"/>
        <s v="HUMA"/>
        <s v="LUR"/>
        <s v="LIGHT"/>
        <s v="GEOD"/>
        <s v="KOX"/>
        <s v="OMI"/>
        <s v="UAI"/>
        <s v="MBG"/>
        <s v="YFI"/>
        <s v="LION"/>
        <s v="TQQQX"/>
        <s v="BRK.BX"/>
        <s v="BLUR"/>
        <s v="ASTR"/>
        <s v="RAIL"/>
        <s v="RON"/>
        <s v="COPXx"/>
        <s v="XYO"/>
        <s v="BANK"/>
        <s v="SN4"/>
        <s v="DGB"/>
        <s v="SUSHI"/>
        <s v="GMEX"/>
        <s v="SKR"/>
        <s v="MRVLon"/>
        <s v="ORE"/>
        <s v="QQQon"/>
        <s v="PROVE"/>
        <s v="MASK"/>
        <s v="MANTA"/>
        <s v="GLIDR"/>
        <s v="VAM"/>
        <s v="NPC"/>
        <s v="WMTX"/>
        <s v="APEX"/>
        <s v="CSPR"/>
        <s v="ESPORTS"/>
        <s v="SNT"/>
        <s v="CUSD"/>
        <s v="REZ"/>
        <s v="SKL"/>
        <s v="LUSD"/>
        <s v="IOST"/>
        <s v="CRMX"/>
        <s v="UQC"/>
        <s v="PHA"/>
        <s v="SLX"/>
        <s v="DBR"/>
        <s v="ABTX"/>
        <s v="FRAX"/>
        <s v="BORA"/>
        <s v="SOMI"/>
        <s v="NEIRO"/>
        <s v="MVL"/>
        <s v="BOX"/>
        <s v="XAN"/>
        <s v="CWU"/>
        <s v="MLK"/>
        <s v="QANX"/>
        <s v="BREV"/>
        <s v="AERGO"/>
        <s v="ABT"/>
        <s v="BLAST"/>
        <s v="SENTIS"/>
        <s v="SATS"/>
        <s v="CTK"/>
        <s v="XYM"/>
        <s v="SIGN"/>
        <s v="SN3"/>
        <s v="SAUCE"/>
        <s v="ADS"/>
        <s v="ORDER"/>
        <s v="FLOCK"/>
        <s v="MOVR"/>
        <s v="TIT"/>
        <s v="FUL"/>
        <s v="DODO"/>
        <s v="BTGOx"/>
        <s v="GUN"/>
        <s v="ERA"/>
        <s v="BTRST"/>
        <s v="ZKC"/>
        <s v="ISLM"/>
        <s v="DIA"/>
        <s v="PROMPT"/>
        <s v="STO"/>
        <s v="AQT"/>
        <s v="OGN"/>
        <s v="CAT"/>
        <s v="BCD"/>
        <s v="CLASH"/>
        <s v="READY"/>
        <s v="BROCCOLI"/>
        <s v="LUMIA"/>
        <s v="MSTRon"/>
        <s v="BLEND"/>
        <s v="MSFTon"/>
        <s v="ELSA"/>
        <s v="TSMon"/>
        <s v="4"/>
        <s v="NETX"/>
        <s v="TRUST"/>
        <s v="DYM"/>
        <s v="ALCX"/>
        <s v="PYR"/>
        <s v="OXT"/>
        <s v="VANRY"/>
        <s v="HEGIC"/>
        <s v="BMT"/>
        <s v="OWB"/>
        <s v="ADX"/>
        <s v="HFT"/>
        <s v="TKO"/>
        <s v="L3"/>
        <s v="GTC"/>
        <s v="CREPE"/>
        <s v="PEPECOIN"/>
        <s v="REDO"/>
        <s v="XPLA"/>
        <s v="QUICK"/>
        <s v="LOAN"/>
        <s v="OGY"/>
        <s v="ZRC"/>
        <s v="EVAA"/>
        <s v="RSS3"/>
        <s v="MAVIA"/>
        <s v="SCR"/>
        <s v="DSYNC"/>
        <s v="AMO"/>
        <s v="WAI"/>
        <s v="KRL"/>
        <s v="TQQQon"/>
        <s v="GALEON"/>
        <s v="WEXO"/>
        <s v="IWNon"/>
        <s v="DGMA"/>
        <s v="MLN"/>
        <s v="NOM"/>
        <s v="EMT"/>
        <s v="TLOS"/>
        <s v="IKA"/>
        <s v="ANDY"/>
        <s v="AVA"/>
        <s v="LAT"/>
        <s v="POR"/>
        <s v="PZM"/>
        <s v="LMTon"/>
        <s v="SYNC"/>
        <s v="ALU"/>
        <s v="SBD"/>
        <s v="WOD"/>
        <s v="AFC"/>
        <s v="$PURPE"/>
        <s v="IHC"/>
        <s v="VITA"/>
        <s v="SNS"/>
        <s v="BLZ"/>
        <s v="PUSS"/>
        <s v="NAKA"/>
        <s v="ALEPH"/>
        <s v="MUMU"/>
        <s v="CSCOon"/>
        <s v="DRGN"/>
        <s v="EPIC"/>
        <s v="REN"/>
        <s v="DEOD"/>
        <s v="DEVVE"/>
        <s v="ESIM"/>
        <s v="ZEX"/>
        <s v="KARRAT"/>
        <s v="NODL"/>
        <s v="FTR"/>
        <s v="IJHon"/>
        <s v="COLS"/>
        <s v="COOK"/>
        <s v="NVOon"/>
        <s v="BEAM"/>
        <s v="WMTon"/>
        <s v="A47"/>
        <s v="VAL"/>
        <s v="BRN"/>
        <s v="PENGUIN"/>
        <s v="VFY"/>
        <s v="PAIN"/>
        <s v="BABYSHARK"/>
        <s v="HERO"/>
        <s v="ADP"/>
        <s v="REEF"/>
        <s v="BID"/>
        <s v="IDEX"/>
        <s v="RICE"/>
        <s v="DAM"/>
        <s v="MANEKI"/>
        <s v="PAPARAZZI"/>
        <s v="HIPPO"/>
        <s v="DERO"/>
        <s v="MAY"/>
        <s v="TMon"/>
        <s v="BENJI"/>
        <s v="KWENTA"/>
        <s v="IRENon"/>
        <s v="BLOCK"/>
        <s v="ALTT"/>
        <s v="JESUS"/>
        <s v="ACT"/>
        <s v="COHRon"/>
        <s v="DBC"/>
        <s v="CRWVon"/>
        <s v="SIGMA"/>
        <s v="SWASH"/>
        <s v="SSLX"/>
        <s v="DOPU"/>
        <s v="GTAI"/>
        <s v="HACHIKO"/>
        <s v="AIX"/>
        <s v="XL1"/>
        <s v="KYVE"/>
        <s v="ADBEon"/>
        <s v="NODE"/>
        <s v="GMCOIN"/>
        <s v="COSTon"/>
        <s v="WFCon"/>
        <s v="XDAG"/>
        <s v="BXE"/>
        <s v="SAMO"/>
        <s v="EURAU"/>
        <s v="OGPU"/>
        <s v="AZIT"/>
        <s v="SALT"/>
        <s v="OBOL"/>
        <s v="TTN"/>
        <s v="CDL"/>
        <s v="AREA"/>
        <s v="LITKEY"/>
        <s v="UNCX"/>
        <s v="YFII"/>
        <s v="PWEASE"/>
        <s v="KILO"/>
        <s v="GLQ"/>
        <s v="ASTSon"/>
        <s v="CAH"/>
        <s v="SMT"/>
        <s v="WAR"/>
        <s v="PUSH"/>
        <s v="BNBHOLDER"/>
        <s v="HYPC"/>
        <s v="VK"/>
        <s v="XPASS"/>
        <s v="RKLBon"/>
      </sharedItems>
    </cacheField>
    <cacheField name="Price (USD)" numFmtId="0">
      <sharedItems containsSemiMixedTypes="0" containsString="0" containsNumber="1" minValue="0" maxValue="63814.36"/>
    </cacheField>
    <cacheField name="1h Change (%)" numFmtId="0">
      <sharedItems containsSemiMixedTypes="0" containsString="0" containsNumber="1" minValue="0" maxValue="0.3"/>
    </cacheField>
    <cacheField name="24h Change (%)" numFmtId="0">
      <sharedItems containsSemiMixedTypes="0" containsString="0" containsNumber="1" minValue="0" maxValue="0.31869999999999998"/>
    </cacheField>
    <cacheField name="7d Change (%)" numFmtId="0">
      <sharedItems containsSemiMixedTypes="0" containsString="0" containsNumber="1" minValue="0" maxValue="6.6626000000000003"/>
    </cacheField>
    <cacheField name="Market Cap" numFmtId="0">
      <sharedItems containsSemiMixedTypes="0" containsString="0" containsNumber="1" containsInteger="1" minValue="961867" maxValue="1273215149892"/>
    </cacheField>
    <cacheField name="24h Price" numFmtId="0">
      <sharedItems containsSemiMixedTypes="0" containsString="0" containsNumber="1" minValue="0" maxValue="65037.056665307791"/>
    </cacheField>
    <cacheField name="7d Price" numFmtId="0">
      <sharedItems containsSemiMixedTypes="0" containsString="0" containsNumber="1" minValue="0" maxValue="56946.600035695163"/>
    </cacheField>
    <cacheField name="Average Downfall %" numFmtId="0">
      <sharedItems containsSemiMixedTypes="0" containsString="0" containsNumber="1" minValue="0" maxValue="2.2813333333333334"/>
    </cacheField>
    <cacheField name="Price Range" numFmtId="0">
      <sharedItems count="5">
        <s v="&gt;$50"/>
        <s v="$0.5-$5"/>
        <s v="$0.05-$0.5"/>
        <s v="$5-$50"/>
        <s v="$0-$0.05"/>
      </sharedItems>
    </cacheField>
  </cacheFields>
  <extLst>
    <ext xmlns:x14="http://schemas.microsoft.com/office/spreadsheetml/2009/9/main" uri="{725AE2AE-9491-48be-B2B4-4EB974FC3084}">
      <x14:pivotCacheDefinition pivotCacheId="144672477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IT" refreshedDate="46183.471060069445" createdVersion="8" refreshedVersion="8" minRefreshableVersion="3" recordCount="282" xr:uid="{A3F0DDFB-31DE-4F76-9A10-5EE51F295CDB}">
  <cacheSource type="worksheet">
    <worksheetSource name="Data4[[Coin Name]:[Price Category]]"/>
  </cacheSource>
  <cacheFields count="9">
    <cacheField name="Coin Name" numFmtId="0">
      <sharedItems count="282">
        <s v="CoinMarketCap 20 Index DTF"/>
        <s v="Bitcoin"/>
        <s v="Ethereum"/>
        <s v="Tether"/>
        <s v="BNB"/>
        <s v="USDC"/>
        <s v="XRP"/>
        <s v="Solana"/>
        <s v="TRON"/>
        <s v="Hyperliquid"/>
        <s v="Dogecoin"/>
        <s v="UNUS SED LEO"/>
        <s v="Stellar"/>
        <s v="Zcash"/>
        <s v="Canton"/>
        <s v="Curve DAO Token"/>
        <s v="Celestia"/>
        <s v="SPX6900"/>
        <s v="AINFT"/>
        <s v="BitTorrent [New]"/>
        <s v="Tezos"/>
        <s v="Chiliz"/>
        <s v="ether.fi"/>
        <s v="Immutable"/>
        <s v="Jito"/>
        <s v="Monad"/>
        <s v="Pyth Network"/>
        <s v="Zebec Network"/>
        <s v="DoubleZero"/>
        <s v="Gnosis"/>
        <s v="Rain"/>
        <s v="LAB"/>
        <s v="Ondo US Dollar Yield"/>
        <s v="HTX"/>
        <s v="Falcon USD"/>
        <s v="c8ntinuum"/>
        <s v="Jupiter Perps LP"/>
        <s v="Beldex"/>
        <s v="GHO"/>
        <s v="TBLL tokenized ETF (xStock)"/>
        <s v="Solstice USX"/>
        <s v="USDGO"/>
        <s v="Legacy Frax Dollar"/>
        <s v="Kamino"/>
        <s v="Coca-Cola tokenized stock (xStock)"/>
        <s v="MetYa"/>
        <s v="iShares Core S&amp;P 500 Tokenized ETF (Ondo)"/>
        <s v="Ravencoin"/>
        <s v="Berachain"/>
        <s v="MindWaveDAO"/>
        <s v="AIOZ Network"/>
        <s v="Derive"/>
        <s v="Huma Finance"/>
        <s v="GEODNET"/>
        <s v="Kusama"/>
        <s v="Collector Crypt"/>
        <s v="Core MSCI Emerging Markets Tokenised ETF (xStock)"/>
        <s v="Plume"/>
        <s v="Axelar"/>
        <s v="Global X Copper Miners Tokenised ETF (xStock)"/>
        <s v="TQQQ tokenized ETF (xStock)"/>
        <s v="ECOMI"/>
        <s v="SushiSwap"/>
        <s v="Ton Strategy tokenized stock (xStock)"/>
        <s v="Astar"/>
        <s v="Ronin"/>
        <s v="Creditcoin"/>
        <s v="Matrixdock Gold"/>
        <s v="Janction"/>
        <s v="Allora"/>
        <s v="OpenServ"/>
        <s v="io.net"/>
        <s v="Amp"/>
        <s v="Succinct"/>
        <s v="Celo Dollar"/>
        <s v="Memecoin"/>
        <s v="lium"/>
        <s v="PepsiCo tokenized stock (xStock)"/>
        <s v="Mask Network"/>
        <s v="Terra"/>
        <s v="International Business Machines tokenized stock (xStock)"/>
        <s v="Glidr"/>
        <s v="Bank of America tokenized stock (xStock)"/>
        <s v="Vitalum"/>
        <s v="World Mobile Token"/>
        <s v="Anchored Coins AEUR"/>
        <s v="Marvell Technology Tokenized Stock (Ondo)"/>
        <s v="Avantis"/>
        <s v="deBridge"/>
        <s v="COTI"/>
        <s v="Yei Finance"/>
        <s v="BORA"/>
        <s v="Powerledger"/>
        <s v="Stronghold SHx"/>
        <s v="iShares Silver Trust Tokenized ETF (Ondo)"/>
        <s v="Renzo"/>
        <s v="IOST"/>
        <s v="Particle Network"/>
        <s v="SKALE"/>
        <s v="MVL"/>
        <s v="ConstitutionDAO"/>
        <s v="Neiro"/>
        <s v="Phala Network"/>
        <s v="MiL.k"/>
        <s v="Lisk"/>
        <s v="Cartesi"/>
        <s v="Sign"/>
        <s v="QANplatform"/>
        <s v="DOGS"/>
        <s v="Swarm Network"/>
        <s v="Shentu"/>
        <s v="SATS (Ordinals)"/>
        <s v="SentismAI"/>
        <s v="Brevis"/>
        <s v="Global Commercial Business"/>
        <s v="Blast"/>
        <s v="Public Masterpiece Token"/>
        <s v="Wirex Token"/>
        <s v="DIA"/>
        <s v="Ark of Panda"/>
        <s v="Chromia"/>
        <s v="Adshares"/>
        <s v="DORA"/>
        <s v="XSGD"/>
        <s v="Moonriver"/>
        <s v="Braintrust"/>
        <s v="OpenEden"/>
        <s v="USDM"/>
        <s v="Orderly"/>
        <s v="Based"/>
        <s v="Solend"/>
        <s v="ISLM"/>
        <s v="Acurast"/>
        <s v="Hamster Kombat"/>
        <s v="Lumia"/>
        <s v="Velodrome Finance"/>
        <s v="HeyElsa"/>
        <s v="iShares TIPS Bond Tokenized ETF (Ondo)"/>
        <s v="Origin Protocol"/>
        <s v="FAR Labs"/>
        <s v="Wayfinder"/>
        <s v="SmarDex"/>
        <s v="Wanchain"/>
        <s v="Fluent"/>
        <s v="MWX Token"/>
        <s v="Aura"/>
        <s v="Simon's Cat"/>
        <s v="Layer3"/>
        <s v="Vulcan Forged (PYR)"/>
        <s v="Fusionist"/>
        <s v="Haedal Protocol"/>
        <s v="Intuition"/>
        <s v="Mind Network"/>
        <s v="THENA"/>
        <s v="Heima"/>
        <s v="Anthropic tokenized stock (PreStocks)"/>
        <s v="xU3O8"/>
        <s v="TG Casino"/>
        <s v="Purple Bitcoin"/>
        <s v="Alchemix"/>
        <s v="Tutorial"/>
        <s v="4"/>
        <s v="BugsCoin"/>
        <s v="Gitcoin"/>
        <s v="AMO Coin"/>
        <s v="Occidental Petroleum Tokenized Stock (Ondo)"/>
        <s v="FIGHT"/>
        <s v="ORIGYN"/>
        <s v="Save"/>
        <s v="Grin"/>
        <s v="Brickken"/>
        <s v="Apu Apustaja"/>
        <s v="Bitlayer"/>
        <s v="Resolv"/>
        <s v="Niza Global"/>
        <s v="Heroes of Mavia"/>
        <s v="SpaceX tokenized stock (PreStocks)"/>
        <s v="Juventus Fan Token"/>
        <s v="Manchester City Fan Token"/>
        <s v="Nobody Sausage"/>
        <s v="Upland (SPARKLET)"/>
        <s v="雪球"/>
        <s v="ALTSEASON"/>
        <s v="Pkoin"/>
        <s v="Nomina"/>
        <s v="StablR USD"/>
        <s v="Hey Anon"/>
        <s v="Eli Lilly Tokenized Stock (Ondo)"/>
        <s v="MAGIC•INTERNET•MONEY (Bitcoin)"/>
        <s v="Solv Protocol"/>
        <s v="NFPrompt"/>
        <s v="StrikeBit AI"/>
        <s v="Klever Coin"/>
        <s v="MOBOX"/>
        <s v="BeatSwap"/>
        <s v="Swell Network"/>
        <s v="Inflation Hedging Coin"/>
        <s v="PussFi"/>
        <s v="Manyu (manyushiba.com)"/>
        <s v="Bluzelle"/>
        <s v="Portal To Bitcoin"/>
        <s v="Arsenal Fan Token"/>
        <s v="Robinhood Markets Tokenized Stock (Ondo)"/>
        <s v="Unibright"/>
        <s v="Purple Pepe"/>
        <s v="375ai"/>
        <s v="Decentrawood"/>
        <s v="Aavegotchi"/>
        <s v="Zeta"/>
        <s v="The Arena"/>
        <s v="Nodle"/>
        <s v="Shido Network"/>
        <s v="iShares Core S&amp;P MidCap Tokenized ETF (Ondo)"/>
        <s v="Dimitra"/>
        <s v="Orbiter Finance"/>
        <s v="Cross The Ages"/>
        <s v="Dragonchain"/>
        <s v="Cointel"/>
        <s v="PeiPei (ETH)"/>
        <s v="QuStream"/>
        <s v="zkVerify"/>
        <s v="WYDE: End Hunger"/>
        <s v="Foxsy AI"/>
        <s v="Adappter Token"/>
        <s v="QuantumCoin"/>
        <s v="Pain (paintoken.com)"/>
        <s v="DRX Token"/>
        <s v="KiboShib"/>
        <s v="Real"/>
        <s v="DAOBase"/>
        <s v="Balance"/>
        <s v="PepsiCo Tokenized Stock (Ondo)"/>
        <s v="Baby Asteroid (Honoring Liv)"/>
        <s v="Rarible"/>
        <s v="Visa Tokenized Stock (Ondo)"/>
        <s v="MANEKI"/>
        <s v="fanC"/>
        <s v="JW Token"/>
        <s v="Aleph Zero"/>
        <s v="Troll (troll.run)"/>
        <s v="Blackrock, Inc. Tokenized Stock (Ondo)"/>
        <s v="Roam"/>
        <s v="Equinix Tokenized Stock (Ondo)"/>
        <s v="StarSlax"/>
        <s v="Baidu Tokenized Stock (Ondo)"/>
        <s v="Maiga"/>
        <s v="SIGMA"/>
        <s v="NikolAI"/>
        <s v="IMPT"/>
        <s v="Step App"/>
        <s v="Crypton"/>
        <s v="Nibiru"/>
        <s v="KYVE Network"/>
        <s v="CUDIS"/>
        <s v="dForce"/>
        <s v="Billy (Bitcoin)"/>
        <s v="Fluence"/>
        <s v="Immunefi"/>
        <s v="Department Of Government Efficiency (dogegov.com)"/>
        <s v="Salesforce Tokenized Stock (Ondo)"/>
        <s v="iShares MSCI South Korea Tokenized ETF (Ondo)"/>
        <s v="Creditlink"/>
        <s v="Azit"/>
        <s v="HashAI"/>
        <s v="ADAMANT Messenger"/>
        <s v="Lit Protocol"/>
        <s v="JD.com Tokenized Stock (Ondo)"/>
        <s v="LOL (lolonsol)"/>
        <s v="Airbnb Tokenized Stock (Ondo)"/>
        <s v="ShareToken"/>
        <s v="RocketX exchange"/>
        <s v="STUFF.io"/>
        <s v="BeB"/>
        <s v="Truth"/>
        <s v="CaptainBNB"/>
        <s v="WAR"/>
        <s v="Starlink"/>
        <s v="Artrade"/>
        <s v="NuNet"/>
        <s v="UNCX Network"/>
        <s v="Push Protocol"/>
        <s v="Strategy Stretch Preferred Tokenized Stock (Ondo)"/>
      </sharedItems>
    </cacheField>
    <cacheField name="Symbol" numFmtId="0">
      <sharedItems/>
    </cacheField>
    <cacheField name="Price (USD)" numFmtId="0">
      <sharedItems containsSemiMixedTypes="0" containsString="0" containsNumber="1" minValue="0" maxValue="60968.85"/>
    </cacheField>
    <cacheField name="1h Change (%)" numFmtId="0">
      <sharedItems containsSemiMixedTypes="0" containsString="0" containsNumber="1" minValue="0" maxValue="0.31359999999999999"/>
    </cacheField>
    <cacheField name="Market Cap" numFmtId="0">
      <sharedItems containsSemiMixedTypes="0" containsString="0" containsNumber="1" containsInteger="1" minValue="949515" maxValue="1222307110742"/>
    </cacheField>
    <cacheField name="Volume (24h) USD" numFmtId="0">
      <sharedItems containsSemiMixedTypes="0" containsString="0" containsNumber="1" containsInteger="1" minValue="1" maxValue="128822587010"/>
    </cacheField>
    <cacheField name="Valid Coin" numFmtId="0">
      <sharedItems/>
    </cacheField>
    <cacheField name="Circulating_Supply($)" numFmtId="0">
      <sharedItems containsString="0" containsBlank="1" containsNumber="1" minValue="1600" maxValue="990100000000000"/>
    </cacheField>
    <cacheField name="Price Category" numFmtId="0">
      <sharedItems count="2">
        <s v="Above $50"/>
        <s v="$0-$50"/>
      </sharedItems>
    </cacheField>
  </cacheFields>
  <extLst>
    <ext xmlns:x14="http://schemas.microsoft.com/office/spreadsheetml/2009/9/main" uri="{725AE2AE-9491-48be-B2B4-4EB974FC3084}">
      <x14:pivotCacheDefinition pivotCacheId="684665604"/>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IT" refreshedDate="46183.471060532407" createdVersion="8" refreshedVersion="8" minRefreshableVersion="3" recordCount="282" xr:uid="{A89FAF0B-CF00-4D4D-B3FC-19B1F9DED283}">
  <cacheSource type="worksheet">
    <worksheetSource name="Data"/>
  </cacheSource>
  <cacheFields count="11">
    <cacheField name="Coin Name" numFmtId="0">
      <sharedItems count="282">
        <s v="CoinMarketCap 20 Index DTF"/>
        <s v="Bitcoin"/>
        <s v="Ethereum"/>
        <s v="Tether"/>
        <s v="BNB"/>
        <s v="USDC"/>
        <s v="XRP"/>
        <s v="Solana"/>
        <s v="TRON"/>
        <s v="Hyperliquid"/>
        <s v="Dogecoin"/>
        <s v="UNUS SED LEO"/>
        <s v="Stellar"/>
        <s v="Zcash"/>
        <s v="Canton"/>
        <s v="Curve DAO Token"/>
        <s v="Celestia"/>
        <s v="SPX6900"/>
        <s v="AINFT"/>
        <s v="BitTorrent [New]"/>
        <s v="Tezos"/>
        <s v="Chiliz"/>
        <s v="ether.fi"/>
        <s v="Immutable"/>
        <s v="Jito"/>
        <s v="Monad"/>
        <s v="Pyth Network"/>
        <s v="Zebec Network"/>
        <s v="DoubleZero"/>
        <s v="Gnosis"/>
        <s v="Rain"/>
        <s v="LAB"/>
        <s v="Ondo US Dollar Yield"/>
        <s v="HTX"/>
        <s v="Falcon USD"/>
        <s v="c8ntinuum"/>
        <s v="Jupiter Perps LP"/>
        <s v="Beldex"/>
        <s v="GHO"/>
        <s v="TBLL tokenized ETF (xStock)"/>
        <s v="Solstice USX"/>
        <s v="USDGO"/>
        <s v="Legacy Frax Dollar"/>
        <s v="Kamino"/>
        <s v="Coca-Cola tokenized stock (xStock)"/>
        <s v="MetYa"/>
        <s v="iShares Core S&amp;P 500 Tokenized ETF (Ondo)"/>
        <s v="Ravencoin"/>
        <s v="Berachain"/>
        <s v="MindWaveDAO"/>
        <s v="AIOZ Network"/>
        <s v="Derive"/>
        <s v="Huma Finance"/>
        <s v="GEODNET"/>
        <s v="Kusama"/>
        <s v="Collector Crypt"/>
        <s v="Core MSCI Emerging Markets Tokenised ETF (xStock)"/>
        <s v="Plume"/>
        <s v="Axelar"/>
        <s v="Global X Copper Miners Tokenised ETF (xStock)"/>
        <s v="TQQQ tokenized ETF (xStock)"/>
        <s v="ECOMI"/>
        <s v="SushiSwap"/>
        <s v="Ton Strategy tokenized stock (xStock)"/>
        <s v="Astar"/>
        <s v="Ronin"/>
        <s v="Creditcoin"/>
        <s v="Matrixdock Gold"/>
        <s v="Janction"/>
        <s v="Allora"/>
        <s v="OpenServ"/>
        <s v="io.net"/>
        <s v="Amp"/>
        <s v="Succinct"/>
        <s v="Celo Dollar"/>
        <s v="Memecoin"/>
        <s v="lium"/>
        <s v="PepsiCo tokenized stock (xStock)"/>
        <s v="Mask Network"/>
        <s v="Terra"/>
        <s v="International Business Machines tokenized stock (xStock)"/>
        <s v="Glidr"/>
        <s v="Bank of America tokenized stock (xStock)"/>
        <s v="Vitalum"/>
        <s v="World Mobile Token"/>
        <s v="Anchored Coins AEUR"/>
        <s v="Marvell Technology Tokenized Stock (Ondo)"/>
        <s v="Avantis"/>
        <s v="deBridge"/>
        <s v="COTI"/>
        <s v="Yei Finance"/>
        <s v="BORA"/>
        <s v="Powerledger"/>
        <s v="Stronghold SHx"/>
        <s v="iShares Silver Trust Tokenized ETF (Ondo)"/>
        <s v="Renzo"/>
        <s v="IOST"/>
        <s v="Particle Network"/>
        <s v="SKALE"/>
        <s v="MVL"/>
        <s v="ConstitutionDAO"/>
        <s v="Neiro"/>
        <s v="Phala Network"/>
        <s v="MiL.k"/>
        <s v="Lisk"/>
        <s v="Cartesi"/>
        <s v="Sign"/>
        <s v="QANplatform"/>
        <s v="DOGS"/>
        <s v="Swarm Network"/>
        <s v="Shentu"/>
        <s v="SATS (Ordinals)"/>
        <s v="SentismAI"/>
        <s v="Brevis"/>
        <s v="Global Commercial Business"/>
        <s v="Blast"/>
        <s v="Public Masterpiece Token"/>
        <s v="Wirex Token"/>
        <s v="DIA"/>
        <s v="Ark of Panda"/>
        <s v="Chromia"/>
        <s v="Adshares"/>
        <s v="DORA"/>
        <s v="XSGD"/>
        <s v="Moonriver"/>
        <s v="Braintrust"/>
        <s v="OpenEden"/>
        <s v="USDM"/>
        <s v="Orderly"/>
        <s v="Based"/>
        <s v="Solend"/>
        <s v="ISLM"/>
        <s v="Acurast"/>
        <s v="Hamster Kombat"/>
        <s v="Lumia"/>
        <s v="Velodrome Finance"/>
        <s v="HeyElsa"/>
        <s v="iShares TIPS Bond Tokenized ETF (Ondo)"/>
        <s v="Origin Protocol"/>
        <s v="FAR Labs"/>
        <s v="Wayfinder"/>
        <s v="SmarDex"/>
        <s v="Wanchain"/>
        <s v="Fluent"/>
        <s v="MWX Token"/>
        <s v="Aura"/>
        <s v="Simon's Cat"/>
        <s v="Layer3"/>
        <s v="Vulcan Forged (PYR)"/>
        <s v="Fusionist"/>
        <s v="Haedal Protocol"/>
        <s v="Intuition"/>
        <s v="Mind Network"/>
        <s v="THENA"/>
        <s v="Heima"/>
        <s v="Anthropic tokenized stock (PreStocks)"/>
        <s v="xU3O8"/>
        <s v="TG Casino"/>
        <s v="Purple Bitcoin"/>
        <s v="Alchemix"/>
        <s v="Tutorial"/>
        <s v="4"/>
        <s v="BugsCoin"/>
        <s v="Gitcoin"/>
        <s v="AMO Coin"/>
        <s v="Occidental Petroleum Tokenized Stock (Ondo)"/>
        <s v="FIGHT"/>
        <s v="ORIGYN"/>
        <s v="Save"/>
        <s v="Grin"/>
        <s v="Brickken"/>
        <s v="Apu Apustaja"/>
        <s v="Bitlayer"/>
        <s v="Resolv"/>
        <s v="Niza Global"/>
        <s v="Heroes of Mavia"/>
        <s v="SpaceX tokenized stock (PreStocks)"/>
        <s v="Juventus Fan Token"/>
        <s v="Manchester City Fan Token"/>
        <s v="Nobody Sausage"/>
        <s v="Upland (SPARKLET)"/>
        <s v="雪球"/>
        <s v="ALTSEASON"/>
        <s v="Pkoin"/>
        <s v="Nomina"/>
        <s v="StablR USD"/>
        <s v="Hey Anon"/>
        <s v="Eli Lilly Tokenized Stock (Ondo)"/>
        <s v="MAGIC•INTERNET•MONEY (Bitcoin)"/>
        <s v="Solv Protocol"/>
        <s v="NFPrompt"/>
        <s v="StrikeBit AI"/>
        <s v="Klever Coin"/>
        <s v="MOBOX"/>
        <s v="BeatSwap"/>
        <s v="Swell Network"/>
        <s v="Inflation Hedging Coin"/>
        <s v="PussFi"/>
        <s v="Manyu (manyushiba.com)"/>
        <s v="Bluzelle"/>
        <s v="Portal To Bitcoin"/>
        <s v="Arsenal Fan Token"/>
        <s v="Robinhood Markets Tokenized Stock (Ondo)"/>
        <s v="Unibright"/>
        <s v="Purple Pepe"/>
        <s v="375ai"/>
        <s v="Decentrawood"/>
        <s v="Aavegotchi"/>
        <s v="Zeta"/>
        <s v="The Arena"/>
        <s v="Nodle"/>
        <s v="Shido Network"/>
        <s v="iShares Core S&amp;P MidCap Tokenized ETF (Ondo)"/>
        <s v="Dimitra"/>
        <s v="Orbiter Finance"/>
        <s v="Cross The Ages"/>
        <s v="Dragonchain"/>
        <s v="Cointel"/>
        <s v="PeiPei (ETH)"/>
        <s v="QuStream"/>
        <s v="zkVerify"/>
        <s v="WYDE: End Hunger"/>
        <s v="Foxsy AI"/>
        <s v="Adappter Token"/>
        <s v="QuantumCoin"/>
        <s v="Pain (paintoken.com)"/>
        <s v="DRX Token"/>
        <s v="KiboShib"/>
        <s v="Real"/>
        <s v="DAOBase"/>
        <s v="Balance"/>
        <s v="PepsiCo Tokenized Stock (Ondo)"/>
        <s v="Baby Asteroid (Honoring Liv)"/>
        <s v="Rarible"/>
        <s v="Visa Tokenized Stock (Ondo)"/>
        <s v="MANEKI"/>
        <s v="fanC"/>
        <s v="JW Token"/>
        <s v="Aleph Zero"/>
        <s v="Troll (troll.run)"/>
        <s v="Blackrock, Inc. Tokenized Stock (Ondo)"/>
        <s v="Roam"/>
        <s v="Equinix Tokenized Stock (Ondo)"/>
        <s v="StarSlax"/>
        <s v="Baidu Tokenized Stock (Ondo)"/>
        <s v="Maiga"/>
        <s v="SIGMA"/>
        <s v="NikolAI"/>
        <s v="IMPT"/>
        <s v="Step App"/>
        <s v="Crypton"/>
        <s v="Nibiru"/>
        <s v="KYVE Network"/>
        <s v="CUDIS"/>
        <s v="dForce"/>
        <s v="Billy (Bitcoin)"/>
        <s v="Fluence"/>
        <s v="Immunefi"/>
        <s v="Department Of Government Efficiency (dogegov.com)"/>
        <s v="Salesforce Tokenized Stock (Ondo)"/>
        <s v="iShares MSCI South Korea Tokenized ETF (Ondo)"/>
        <s v="Creditlink"/>
        <s v="Azit"/>
        <s v="HashAI"/>
        <s v="ADAMANT Messenger"/>
        <s v="Lit Protocol"/>
        <s v="JD.com Tokenized Stock (Ondo)"/>
        <s v="LOL (lolonsol)"/>
        <s v="Airbnb Tokenized Stock (Ondo)"/>
        <s v="ShareToken"/>
        <s v="RocketX exchange"/>
        <s v="STUFF.io"/>
        <s v="BeB"/>
        <s v="Truth"/>
        <s v="CaptainBNB"/>
        <s v="WAR"/>
        <s v="Starlink"/>
        <s v="Artrade"/>
        <s v="NuNet"/>
        <s v="UNCX Network"/>
        <s v="Push Protocol"/>
        <s v="Strategy Stretch Preferred Tokenized Stock (Ondo)"/>
      </sharedItems>
    </cacheField>
    <cacheField name="Symbol" numFmtId="0">
      <sharedItems/>
    </cacheField>
    <cacheField name="Price (USD)" numFmtId="0">
      <sharedItems containsSemiMixedTypes="0" containsString="0" containsNumber="1" minValue="0" maxValue="60968.85"/>
    </cacheField>
    <cacheField name="1h Change (%)" numFmtId="0">
      <sharedItems containsSemiMixedTypes="0" containsString="0" containsNumber="1" minValue="0" maxValue="0.31359999999999999"/>
    </cacheField>
    <cacheField name="Market Cap" numFmtId="0">
      <sharedItems containsSemiMixedTypes="0" containsString="0" containsNumber="1" containsInteger="1" minValue="949515" maxValue="1222307110742"/>
    </cacheField>
    <cacheField name="Volume (24h) USD" numFmtId="0">
      <sharedItems containsSemiMixedTypes="0" containsString="0" containsNumber="1" containsInteger="1" minValue="1" maxValue="128822587010"/>
    </cacheField>
    <cacheField name="Valid Coin" numFmtId="0">
      <sharedItems/>
    </cacheField>
    <cacheField name="Circulating_Supply($)" numFmtId="0">
      <sharedItems containsString="0" containsBlank="1" containsNumber="1" minValue="1600" maxValue="990100000000000"/>
    </cacheField>
    <cacheField name="Previous Price" numFmtId="0">
      <sharedItems containsSemiMixedTypes="0" containsString="0" containsNumber="1" minValue="0" maxValue="60932.290625624628"/>
    </cacheField>
    <cacheField name="Price Change" numFmtId="166">
      <sharedItems containsSemiMixedTypes="0" containsString="0" containsNumber="1" minValue="0" maxValue="36.55937437537068"/>
    </cacheField>
    <cacheField name="Price Range" numFmtId="0">
      <sharedItems count="2">
        <s v="&gt;= $10"/>
        <s v="Up to $10"/>
      </sharedItems>
    </cacheField>
  </cacheFields>
  <extLst>
    <ext xmlns:x14="http://schemas.microsoft.com/office/spreadsheetml/2009/9/main" uri="{725AE2AE-9491-48be-B2B4-4EB974FC3084}">
      <x14:pivotCacheDefinition pivotCacheId="127625456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IT" refreshedDate="46183.471060995369" createdVersion="8" refreshedVersion="8" minRefreshableVersion="3" recordCount="99" xr:uid="{E0C28B49-1E26-4E12-AD29-D536ECA6ACDC}">
  <cacheSource type="worksheet">
    <worksheetSource ref="A1:G100" sheet="Data"/>
  </cacheSource>
  <cacheFields count="7">
    <cacheField name="Coin Name" numFmtId="0">
      <sharedItems count="155">
        <s v="CoinMarketCap 20 Index DTF"/>
        <s v="Bitcoin"/>
        <s v="Ethereum"/>
        <s v="Tether"/>
        <s v="BNB"/>
        <s v="USDC"/>
        <s v="XRP"/>
        <s v="Solana"/>
        <s v="TRON"/>
        <s v="Hyperliquid"/>
        <s v="Dogecoin"/>
        <s v="UNUS SED LEO"/>
        <s v="Stellar"/>
        <s v="Zcash"/>
        <s v="Canton"/>
        <s v="Curve DAO Token"/>
        <s v="Celestia"/>
        <s v="SPX6900"/>
        <s v="AINFT"/>
        <s v="BitTorrent [New]"/>
        <s v="Tezos"/>
        <s v="Chiliz"/>
        <s v="ether.fi"/>
        <s v="Immutable"/>
        <s v="Jito"/>
        <s v="Monad"/>
        <s v="Pyth Network"/>
        <s v="Zebec Network"/>
        <s v="DoubleZero"/>
        <s v="Gnosis"/>
        <s v="Rain"/>
        <s v="LAB"/>
        <s v="Ondo US Dollar Yield"/>
        <s v="HTX"/>
        <s v="Falcon USD"/>
        <s v="c8ntinuum"/>
        <s v="Jupiter Perps LP"/>
        <s v="Beldex"/>
        <s v="GHO"/>
        <s v="TBLL tokenized ETF (xStock)"/>
        <s v="Solstice USX"/>
        <s v="USDGO"/>
        <s v="Legacy Frax Dollar"/>
        <s v="Kamino"/>
        <s v="Coca-Cola tokenized stock (xStock)"/>
        <s v="MetYa"/>
        <s v="iShares Core S&amp;P 500 Tokenized ETF (Ondo)"/>
        <s v="Ravencoin"/>
        <s v="Berachain"/>
        <s v="MindWaveDAO"/>
        <s v="AIOZ Network"/>
        <s v="Derive"/>
        <s v="Huma Finance"/>
        <s v="GEODNET"/>
        <s v="Kusama"/>
        <s v="Collector Crypt"/>
        <s v="Core MSCI Emerging Markets Tokenised ETF (xStock)"/>
        <s v="Plume"/>
        <s v="Axelar"/>
        <s v="Global X Copper Miners Tokenised ETF (xStock)"/>
        <s v="TQQQ tokenized ETF (xStock)"/>
        <s v="ECOMI"/>
        <s v="SushiSwap"/>
        <s v="Ton Strategy tokenized stock (xStock)"/>
        <s v="Astar"/>
        <s v="Ronin"/>
        <s v="Creditcoin"/>
        <s v="Matrixdock Gold"/>
        <s v="Janction"/>
        <s v="Allora"/>
        <s v="OpenServ"/>
        <s v="io.net"/>
        <s v="Amp"/>
        <s v="Succinct"/>
        <s v="Celo Dollar"/>
        <s v="Memecoin"/>
        <s v="lium"/>
        <s v="PepsiCo tokenized stock (xStock)"/>
        <s v="Mask Network"/>
        <s v="Terra"/>
        <s v="International Business Machines tokenized stock (xStock)"/>
        <s v="Glidr"/>
        <s v="Bank of America tokenized stock (xStock)"/>
        <s v="Vitalum"/>
        <s v="World Mobile Token"/>
        <s v="Anchored Coins AEUR"/>
        <s v="Marvell Technology Tokenized Stock (Ondo)"/>
        <s v="Avantis"/>
        <s v="deBridge"/>
        <s v="COTI"/>
        <s v="Yei Finance"/>
        <s v="BORA"/>
        <s v="Powerledger"/>
        <s v="Stronghold SHx"/>
        <s v="iShares Silver Trust Tokenized ETF (Ondo)"/>
        <s v="Renzo"/>
        <s v="IOST"/>
        <s v="Particle Network"/>
        <s v="SKALE"/>
        <s v="Usual USD" u="1"/>
        <s v="USDai" u="1"/>
        <s v="Cardano" u="1"/>
        <s v="Sun [New]" u="1"/>
        <s v="First Digital USD" u="1"/>
        <s v="Bitcoin SV" u="1"/>
        <s v="Kaia" u="1"/>
        <s v="Unibase" u="1"/>
        <s v="ORDI" u="1"/>
        <s v="Quack AI" u="1"/>
        <s v="USDsui" u="1"/>
        <s v="Wibegram" u="1"/>
        <s v="Vanguard Total World Tokenised ETF (xStock)" u="1"/>
        <s v="Comedian" u="1"/>
        <s v="lisUSD" u="1"/>
        <s v="Zama" u="1"/>
        <s v="Bio Protocol" u="1"/>
        <s v="Pirate Chain" u="1"/>
        <s v="MultiBank Group" u="1"/>
        <s v="Cysic" u="1"/>
        <s v="Targon" u="1"/>
        <s v="Visa tokenized stock (xStock)" u="1"/>
        <s v="Vanguard tokenized ETF (xStock)" u="1"/>
        <s v="Block Street" u="1"/>
        <s v="Exxon Mobil tokenized stock (xStock)" u="1"/>
        <s v="peaq" u="1"/>
        <s v="DigiByte" u="1"/>
        <s v="Movement" u="1"/>
        <s v="BankrCoin" u="1"/>
        <s v="Honeywell tokenized stock (xStock)" u="1"/>
        <s v="KUB Coin" u="1"/>
        <s v="Fogo" u="1"/>
        <s v="Procter &amp; Gamble tokenized stock (xStock)" u="1"/>
        <s v="XYO" u="1"/>
        <s v="Loaded Lions" u="1"/>
        <s v="Storj" u="1"/>
        <s v="IoTeX" u="1"/>
        <s v="ssv.network" u="1"/>
        <s v="UMA" u="1"/>
        <s v="StraitsX USD" u="1"/>
        <s v="Eli Lilly tokenized stock (xStock)" u="1"/>
        <s v="BUSD" u="1"/>
        <s v="Gensyn" u="1"/>
        <s v="SuperTrust" u="1"/>
        <s v="Merck tokenized stock (xStock)" u="1"/>
        <s v="Subsquid" u="1"/>
        <s v="Johnson &amp; Johnson tokenized stock (xStock)" u="1"/>
        <s v="AI Analysis Token" u="1"/>
        <s v="APRO" u="1"/>
        <s v="B3 (Base)" u="1"/>
        <s v="UNIPOLY" u="1"/>
        <s v="Salesforce tokenized stock (xStock)" u="1"/>
        <s v="MVL" u="1"/>
        <s v="WOO" u="1"/>
        <s v="EthereumPoW" u="1"/>
        <s v="Giggle Fund" u="1"/>
      </sharedItems>
    </cacheField>
    <cacheField name="Symbol" numFmtId="0">
      <sharedItems/>
    </cacheField>
    <cacheField name="Price (USD)" numFmtId="0">
      <sharedItems containsSemiMixedTypes="0" containsString="0" containsNumber="1" minValue="2.0000000000000001E-4" maxValue="60968.85"/>
    </cacheField>
    <cacheField name="1h Change (%)" numFmtId="0">
      <sharedItems containsSemiMixedTypes="0" containsString="0" containsNumber="1" minValue="0" maxValue="4.9399999999999999E-2"/>
    </cacheField>
    <cacheField name="Market Cap" numFmtId="0">
      <sharedItems containsSemiMixedTypes="0" containsString="0" containsNumber="1" containsInteger="1" minValue="12717729" maxValue="1222307110742"/>
    </cacheField>
    <cacheField name="Volume (24h) USD" numFmtId="0">
      <sharedItems containsSemiMixedTypes="0" containsString="0" containsNumber="1" containsInteger="1" minValue="261" maxValue="128822587010"/>
    </cacheField>
    <cacheField name="Valid Coin" numFmtId="0">
      <sharedItems count="2">
        <s v="Yes"/>
        <s v="No"/>
      </sharedItems>
    </cacheField>
  </cacheFields>
  <extLst>
    <ext xmlns:x14="http://schemas.microsoft.com/office/spreadsheetml/2009/9/main" uri="{725AE2AE-9491-48be-B2B4-4EB974FC3084}">
      <x14:pivotCacheDefinition pivotCacheId="2013185712"/>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IT" refreshedDate="46183.471061342592" createdVersion="8" refreshedVersion="8" minRefreshableVersion="3" recordCount="283" xr:uid="{30794F56-562D-403C-A733-3B6FF88D9EED}">
  <cacheSource type="worksheet">
    <worksheetSource ref="A1:G400" sheet="Data"/>
  </cacheSource>
  <cacheFields count="7">
    <cacheField name="Coin Name" numFmtId="0">
      <sharedItems containsBlank="1" count="510">
        <s v="CoinMarketCap 20 Index DTF"/>
        <s v="Bitcoin"/>
        <s v="Ethereum"/>
        <s v="Tether"/>
        <s v="BNB"/>
        <s v="USDC"/>
        <s v="XRP"/>
        <s v="Solana"/>
        <s v="TRON"/>
        <s v="Hyperliquid"/>
        <s v="Dogecoin"/>
        <s v="UNUS SED LEO"/>
        <s v="Stellar"/>
        <s v="Zcash"/>
        <s v="Canton"/>
        <s v="Curve DAO Token"/>
        <s v="Celestia"/>
        <s v="SPX6900"/>
        <s v="AINFT"/>
        <s v="BitTorrent [New]"/>
        <s v="Tezos"/>
        <s v="Chiliz"/>
        <s v="ether.fi"/>
        <s v="Immutable"/>
        <s v="Jito"/>
        <s v="Monad"/>
        <s v="Pyth Network"/>
        <s v="Zebec Network"/>
        <s v="DoubleZero"/>
        <s v="Gnosis"/>
        <s v="Rain"/>
        <s v="LAB"/>
        <s v="Ondo US Dollar Yield"/>
        <s v="HTX"/>
        <s v="Falcon USD"/>
        <s v="c8ntinuum"/>
        <s v="Jupiter Perps LP"/>
        <s v="Beldex"/>
        <s v="GHO"/>
        <s v="TBLL tokenized ETF (xStock)"/>
        <s v="Solstice USX"/>
        <s v="USDGO"/>
        <s v="Legacy Frax Dollar"/>
        <s v="Kamino"/>
        <s v="Coca-Cola tokenized stock (xStock)"/>
        <s v="MetYa"/>
        <s v="iShares Core S&amp;P 500 Tokenized ETF (Ondo)"/>
        <s v="Ravencoin"/>
        <s v="Berachain"/>
        <s v="MindWaveDAO"/>
        <s v="AIOZ Network"/>
        <s v="Derive"/>
        <s v="Huma Finance"/>
        <s v="GEODNET"/>
        <s v="Kusama"/>
        <s v="Collector Crypt"/>
        <s v="Core MSCI Emerging Markets Tokenised ETF (xStock)"/>
        <s v="Plume"/>
        <s v="Axelar"/>
        <s v="Global X Copper Miners Tokenised ETF (xStock)"/>
        <s v="TQQQ tokenized ETF (xStock)"/>
        <s v="ECOMI"/>
        <s v="SushiSwap"/>
        <s v="Ton Strategy tokenized stock (xStock)"/>
        <s v="Astar"/>
        <s v="Ronin"/>
        <s v="Creditcoin"/>
        <s v="Matrixdock Gold"/>
        <s v="Janction"/>
        <s v="Allora"/>
        <s v="OpenServ"/>
        <s v="io.net"/>
        <s v="Amp"/>
        <s v="Succinct"/>
        <s v="Celo Dollar"/>
        <s v="Memecoin"/>
        <s v="lium"/>
        <s v="PepsiCo tokenized stock (xStock)"/>
        <s v="Mask Network"/>
        <s v="Terra"/>
        <s v="International Business Machines tokenized stock (xStock)"/>
        <s v="Glidr"/>
        <s v="Bank of America tokenized stock (xStock)"/>
        <s v="Vitalum"/>
        <s v="World Mobile Token"/>
        <s v="Anchored Coins AEUR"/>
        <s v="Marvell Technology Tokenized Stock (Ondo)"/>
        <s v="Avantis"/>
        <s v="deBridge"/>
        <s v="COTI"/>
        <s v="Yei Finance"/>
        <s v="BORA"/>
        <s v="Powerledger"/>
        <s v="Stronghold SHx"/>
        <s v="iShares Silver Trust Tokenized ETF (Ondo)"/>
        <s v="Renzo"/>
        <s v="IOST"/>
        <s v="Particle Network"/>
        <s v="SKALE"/>
        <s v="MVL"/>
        <s v="ConstitutionDAO"/>
        <s v="Neiro"/>
        <s v="Phala Network"/>
        <s v="MiL.k"/>
        <s v="Lisk"/>
        <s v="Cartesi"/>
        <s v="Sign"/>
        <s v="QANplatform"/>
        <s v="DOGS"/>
        <s v="Swarm Network"/>
        <s v="Shentu"/>
        <s v="SATS (Ordinals)"/>
        <s v="SentismAI"/>
        <s v="Brevis"/>
        <s v="Global Commercial Business"/>
        <s v="Blast"/>
        <s v="Public Masterpiece Token"/>
        <s v="Wirex Token"/>
        <s v="DIA"/>
        <s v="Ark of Panda"/>
        <s v="Chromia"/>
        <s v="Adshares"/>
        <s v="DORA"/>
        <s v="XSGD"/>
        <s v="Moonriver"/>
        <s v="Braintrust"/>
        <s v="OpenEden"/>
        <s v="USDM"/>
        <s v="Orderly"/>
        <s v="Based"/>
        <s v="Solend"/>
        <s v="ISLM"/>
        <s v="Acurast"/>
        <s v="Hamster Kombat"/>
        <s v="Lumia"/>
        <s v="Velodrome Finance"/>
        <s v="HeyElsa"/>
        <s v="iShares TIPS Bond Tokenized ETF (Ondo)"/>
        <s v="Origin Protocol"/>
        <s v="FAR Labs"/>
        <s v="Wayfinder"/>
        <s v="SmarDex"/>
        <s v="Wanchain"/>
        <s v="Fluent"/>
        <s v="MWX Token"/>
        <s v="Aura"/>
        <s v="Simon's Cat"/>
        <s v="Layer3"/>
        <s v="Vulcan Forged (PYR)"/>
        <s v="Fusionist"/>
        <s v="Haedal Protocol"/>
        <s v="Intuition"/>
        <s v="Mind Network"/>
        <s v="THENA"/>
        <s v="Heima"/>
        <s v="Anthropic tokenized stock (PreStocks)"/>
        <s v="xU3O8"/>
        <s v="TG Casino"/>
        <s v="Purple Bitcoin"/>
        <s v="Alchemix"/>
        <s v="Tutorial"/>
        <s v="4"/>
        <s v="BugsCoin"/>
        <s v="Gitcoin"/>
        <s v="AMO Coin"/>
        <s v="Occidental Petroleum Tokenized Stock (Ondo)"/>
        <s v="FIGHT"/>
        <s v="ORIGYN"/>
        <s v="Save"/>
        <s v="Grin"/>
        <s v="Brickken"/>
        <s v="Apu Apustaja"/>
        <s v="Bitlayer"/>
        <s v="Resolv"/>
        <s v="Niza Global"/>
        <s v="Heroes of Mavia"/>
        <s v="SpaceX tokenized stock (PreStocks)"/>
        <s v="Juventus Fan Token"/>
        <s v="Manchester City Fan Token"/>
        <s v="Nobody Sausage"/>
        <s v="Upland (SPARKLET)"/>
        <s v="雪球"/>
        <s v="ALTSEASON"/>
        <s v="Pkoin"/>
        <s v="Nomina"/>
        <s v="StablR USD"/>
        <s v="Hey Anon"/>
        <s v="Eli Lilly Tokenized Stock (Ondo)"/>
        <s v="MAGIC•INTERNET•MONEY (Bitcoin)"/>
        <s v="Solv Protocol"/>
        <s v="NFPrompt"/>
        <s v="StrikeBit AI"/>
        <s v="Klever Coin"/>
        <s v="MOBOX"/>
        <s v="BeatSwap"/>
        <s v="Swell Network"/>
        <s v="Inflation Hedging Coin"/>
        <s v="PussFi"/>
        <s v="Manyu (manyushiba.com)"/>
        <s v="Bluzelle"/>
        <s v="Portal To Bitcoin"/>
        <s v="Arsenal Fan Token"/>
        <s v="Robinhood Markets Tokenized Stock (Ondo)"/>
        <s v="Unibright"/>
        <s v="Purple Pepe"/>
        <s v="375ai"/>
        <s v="Decentrawood"/>
        <s v="Aavegotchi"/>
        <s v="Zeta"/>
        <s v="The Arena"/>
        <s v="Nodle"/>
        <s v="Shido Network"/>
        <s v="iShares Core S&amp;P MidCap Tokenized ETF (Ondo)"/>
        <s v="Dimitra"/>
        <s v="Orbiter Finance"/>
        <s v="Cross The Ages"/>
        <s v="Dragonchain"/>
        <s v="Cointel"/>
        <s v="PeiPei (ETH)"/>
        <s v="QuStream"/>
        <s v="zkVerify"/>
        <s v="WYDE: End Hunger"/>
        <s v="Foxsy AI"/>
        <s v="Adappter Token"/>
        <s v="QuantumCoin"/>
        <s v="Pain (paintoken.com)"/>
        <s v="DRX Token"/>
        <s v="KiboShib"/>
        <s v="Real"/>
        <s v="DAOBase"/>
        <s v="Balance"/>
        <s v="PepsiCo Tokenized Stock (Ondo)"/>
        <s v="Baby Asteroid (Honoring Liv)"/>
        <s v="Rarible"/>
        <s v="Visa Tokenized Stock (Ondo)"/>
        <s v="MANEKI"/>
        <s v="fanC"/>
        <s v="JW Token"/>
        <s v="Aleph Zero"/>
        <s v="Troll (troll.run)"/>
        <s v="Blackrock, Inc. Tokenized Stock (Ondo)"/>
        <s v="Roam"/>
        <s v="Equinix Tokenized Stock (Ondo)"/>
        <s v="StarSlax"/>
        <s v="Baidu Tokenized Stock (Ondo)"/>
        <s v="Maiga"/>
        <s v="SIGMA"/>
        <s v="NikolAI"/>
        <s v="IMPT"/>
        <s v="Step App"/>
        <s v="Crypton"/>
        <s v="Nibiru"/>
        <s v="KYVE Network"/>
        <s v="CUDIS"/>
        <s v="dForce"/>
        <s v="Billy (Bitcoin)"/>
        <s v="Fluence"/>
        <s v="Immunefi"/>
        <s v="Department Of Government Efficiency (dogegov.com)"/>
        <s v="Salesforce Tokenized Stock (Ondo)"/>
        <s v="iShares MSCI South Korea Tokenized ETF (Ondo)"/>
        <s v="Creditlink"/>
        <s v="Azit"/>
        <s v="HashAI"/>
        <s v="ADAMANT Messenger"/>
        <s v="Lit Protocol"/>
        <s v="JD.com Tokenized Stock (Ondo)"/>
        <s v="LOL (lolonsol)"/>
        <s v="Airbnb Tokenized Stock (Ondo)"/>
        <s v="ShareToken"/>
        <s v="RocketX exchange"/>
        <s v="STUFF.io"/>
        <s v="BeB"/>
        <s v="Truth"/>
        <s v="CaptainBNB"/>
        <s v="WAR"/>
        <s v="Starlink"/>
        <s v="Artrade"/>
        <s v="NuNet"/>
        <s v="UNCX Network"/>
        <s v="Push Protocol"/>
        <s v="Strategy Stretch Preferred Tokenized Stock (Ondo)"/>
        <m/>
        <s v="Usual USD" u="1"/>
        <s v="USDai" u="1"/>
        <s v="Nexa (nexaagent.xyz)" u="1"/>
        <s v="Nash" u="1"/>
        <s v="VestChain" u="1"/>
        <s v="VNX Euro" u="1"/>
        <s v="Kujira" u="1"/>
        <s v="Attila" u="1"/>
        <s v="TOPGOAL" u="1"/>
        <s v="BIDZ Coin" u="1"/>
        <s v="HI" u="1"/>
        <s v="ZClassic" u="1"/>
        <s v="Crypterium" u="1"/>
        <s v="LIBRA" u="1"/>
        <s v="Hoge Finance" u="1"/>
        <s v="VK Token" u="1"/>
        <s v="Moon Tropica" u="1"/>
        <s v="LATOKEN" u="1"/>
        <s v="Cardano" u="1"/>
        <s v="Sun [New]" u="1"/>
        <s v="First Digital USD" u="1"/>
        <s v="Bitcoin SV" u="1"/>
        <s v="Kaia" u="1"/>
        <s v="Unibase" u="1"/>
        <s v="ORDI" u="1"/>
        <s v="Quack AI" u="1"/>
        <s v="USDsui" u="1"/>
        <s v="Wibegram" u="1"/>
        <s v="Vanguard Total World Tokenised ETF (xStock)" u="1"/>
        <s v="Comedian" u="1"/>
        <s v="lisUSD" u="1"/>
        <s v="Zama" u="1"/>
        <s v="Bio Protocol" u="1"/>
        <s v="Pirate Chain" u="1"/>
        <s v="MultiBank Group" u="1"/>
        <s v="Cysic" u="1"/>
        <s v="Targon" u="1"/>
        <s v="Visa tokenized stock (xStock)" u="1"/>
        <s v="Vanguard tokenized ETF (xStock)" u="1"/>
        <s v="Block Street" u="1"/>
        <s v="Exxon Mobil tokenized stock (xStock)" u="1"/>
        <s v="peaq" u="1"/>
        <s v="DigiByte" u="1"/>
        <s v="Movement" u="1"/>
        <s v="BankrCoin" u="1"/>
        <s v="Honeywell tokenized stock (xStock)" u="1"/>
        <s v="KUB Coin" u="1"/>
        <s v="Fogo" u="1"/>
        <s v="Procter &amp; Gamble tokenized stock (xStock)" u="1"/>
        <s v="XYO" u="1"/>
        <s v="Loaded Lions" u="1"/>
        <s v="Storj" u="1"/>
        <s v="IoTeX" u="1"/>
        <s v="ssv.network" u="1"/>
        <s v="UMA" u="1"/>
        <s v="StraitsX USD" u="1"/>
        <s v="Eli Lilly tokenized stock (xStock)" u="1"/>
        <s v="BUSD" u="1"/>
        <s v="Gensyn" u="1"/>
        <s v="SuperTrust" u="1"/>
        <s v="Merck tokenized stock (xStock)" u="1"/>
        <s v="Subsquid" u="1"/>
        <s v="Johnson &amp; Johnson tokenized stock (xStock)" u="1"/>
        <s v="AI Analysis Token" u="1"/>
        <s v="APRO" u="1"/>
        <s v="B3 (Base)" u="1"/>
        <s v="UNIPOLY" u="1"/>
        <s v="Salesforce tokenized stock (xStock)" u="1"/>
        <s v="WOO" u="1"/>
        <s v="EthereumPoW" u="1"/>
        <s v="Giggle Fund" u="1"/>
        <s v="KRAQ Tokenised Stock (xStock)" u="1"/>
        <s v="Rekt (rekt.com)" u="1"/>
        <s v="Yooldo" u="1"/>
        <s v="Bounce Token" u="1"/>
        <s v="Bedrock" u="1"/>
        <s v="Medtronic tokenized stock (xStock)" u="1"/>
        <s v="Symbol" u="1"/>
        <s v="Corn" u="1"/>
        <s v="Biconomy" u="1"/>
        <s v="Sapien" u="1"/>
        <s v="Isiklar Coin" u="1"/>
        <s v="Metis" u="1"/>
        <s v="Degen" u="1"/>
        <s v="Aergo" u="1"/>
        <s v="Pocket Network" u="1"/>
        <s v="ChainGPT" u="1"/>
        <s v="Sonic SVM" u="1"/>
        <s v="Usual" u="1"/>
        <s v="SLT" u="1"/>
        <s v="KernelDAO" u="1"/>
        <s v="Faith Tribe" u="1"/>
        <s v="Young" u="1"/>
        <s v="Abey" u="1"/>
        <s v="iShares Core MSCI EAFE Tokenized ETF (Ondo)" u="1"/>
        <s v="pippin" u="1"/>
        <s v="Opinion" u="1"/>
        <s v="Caldera" u="1"/>
        <s v="GUNZ" u="1"/>
        <s v="Apertum" u="1"/>
        <s v="Firo" u="1"/>
        <s v="Power Protocol" u="1"/>
        <s v="Microsoft Tokenized Stock (Ondo)" u="1"/>
        <s v="SoFi Technologies Tokenized Stock (Ondo)" u="1"/>
        <s v="Marlin" u="1"/>
        <s v="StakeStone" u="1"/>
        <s v="DIAM" u="1"/>
        <s v="iShares Gold Trust Tokenized ETF (Ondo)" u="1"/>
        <s v="TARS AI" u="1"/>
        <s v="AriaAI" u="1"/>
        <s v="OG Fan Token" u="1"/>
        <s v="Everscale" u="1"/>
        <s v="FUNToken" u="1"/>
        <s v="Torch of Liberty" u="1"/>
        <s v="ResearchCoin" u="1"/>
        <s v="SUPRA" u="1"/>
        <s v="Agoras: Tau Net" u="1"/>
        <s v="Elastos" u="1"/>
        <s v="NetX" u="1"/>
        <s v="Synapse" u="1"/>
        <s v="saffron.finance" u="1"/>
        <s v="iShares Russell 1000 Growth Tokenized ETF (Ondo)" u="1"/>
        <s v="StablR Euro" u="1"/>
        <s v="Hegic" u="1"/>
        <s v="Redbelly Network" u="1"/>
        <s v="Assemble AI" u="1"/>
        <s v="InitVerse" u="1"/>
        <s v="QuickSwap [Old]" u="1"/>
        <s v="dYdX (ethDYDX)" u="1"/>
        <s v="Peercoin" u="1"/>
        <s v="ELYSIA" u="1"/>
        <s v="AKEDO" u="1"/>
        <s v="PepeCoin" u="1"/>
        <s v="Galatasaray Fan Token" u="1"/>
        <s v="NAVI Protocol" u="1"/>
        <s v="Nimiq" u="1"/>
        <s v="Badger DAO" u="1"/>
        <s v="Ika" u="1"/>
        <s v="Creta World" u="1"/>
        <s v="Broadcom Tokenized Stock (Ondo)" u="1"/>
        <s v="OVERTAKE" u="1"/>
        <s v="Bitlight" u="1"/>
        <s v="Dexsport" u="1"/>
        <s v="Splintershards" u="1"/>
        <s v="Mamo" u="1"/>
        <s v="Kryll" u="1"/>
        <s v="Bitcoin Gold" u="1"/>
        <s v="Utrust" u="1"/>
        <s v="EarthMeta" u="1"/>
        <s v="World of Dypians" u="1"/>
        <s v="Suku" u="1"/>
        <s v="Minima" u="1"/>
        <s v="Zypher Network" u="1"/>
        <s v="Ycash (y.cash)" u="1"/>
        <s v="Keyboard Cat" u="1"/>
        <s v="MECCA" u="1"/>
        <s v="ASD" u="1"/>
        <s v="PRIZM" u="1"/>
        <s v="0x0.ai" u="1"/>
        <s v="Blockchain Foundation for Innovation &amp; Collaboration" u="1"/>
        <s v="BTSE Token" u="1"/>
        <s v="iShares Russell 2000 Tokenized ETF (Ondo)" u="1"/>
        <s v="Liqwid Finance" u="1"/>
        <s v="Electra Protocol" u="1"/>
        <s v="GAMEE" u="1"/>
        <s v="Cisco Systems Tokenized Stock (Ondo)" u="1"/>
        <s v="Djed" u="1"/>
        <s v="iShares 0-3 Month Treasury Bond Tokenized ETF (Ondo)" u="1"/>
        <s v="PinLink" u="1"/>
        <s v="GOLDAO" u="1"/>
        <s v="Pfizer Tokenized Stock (Ondo)" u="1"/>
        <s v="Nexa" u="1"/>
        <s v="Procter &amp; Gamble Tokenized Stock (Ondo)" u="1"/>
        <s v="Validity" u="1"/>
        <s v="Ultra" u="1"/>
        <s v="BioPassport Token" u="1"/>
        <s v="Dero" u="1"/>
        <s v="Beam" u="1"/>
        <s v="Reef" u="1"/>
        <s v="Sharp" u="1"/>
        <s v="Warden" u="1"/>
        <s v="ArchLoot" u="1"/>
        <s v="Kyuzo's Friends" u="1"/>
        <s v="JPMorgan Chase Tokenized Stock (Ondo)" u="1"/>
        <s v="Anduril tokenized stock (PreStocks)" u="1"/>
        <s v="CeluvPlay" u="1"/>
        <s v="Reservoir" u="1"/>
        <s v="Æternity" u="1"/>
        <s v="Handshake" u="1"/>
        <s v="Jesus Coin" u="1"/>
        <s v="Botto" u="1"/>
        <s v="Coral Protocol" u="1"/>
        <s v="Vader" u="1"/>
        <s v="UXLINK" u="1"/>
        <s v="GOAT Network" u="1"/>
        <s v="Kin" u="1"/>
        <s v="Rai Reflex Index" u="1"/>
        <s v="Mochimo" u="1"/>
        <s v="Linde plc Tokenized Stock (Ondo)" u="1"/>
        <s v="MILC Platform" u="1"/>
        <s v="Funtico" u="1"/>
        <s v="Harold" u="1"/>
        <s v="Verse" u="1"/>
        <s v="一 (USD1_ONE)" u="1"/>
        <s v="SolCex" u="1"/>
        <s v="cheqd" u="1"/>
        <s v="Voxies" u="1"/>
        <s v="XDAG" u="1"/>
        <s v="Defactor" u="1"/>
        <s v="UnitedHealth Tokenized Stock (Ondo)" u="1"/>
        <s v="catwifmask" u="1"/>
        <s v="Reality Metaverse" u="1"/>
        <s v="Storm Trade" u="1"/>
        <s v="Clore.ai" u="1"/>
        <s v="Stride" u="1"/>
        <s v="Matchain" u="1"/>
        <s v="Superfluid" u="1"/>
        <s v="Vexanium" u="1"/>
        <s v="JMPT Rewards" u="1"/>
        <s v="Prosper" u="1"/>
        <s v="Saito" u="1"/>
        <s v="LOOK" u="1"/>
        <s v="Netflix Tokenized Stock (Ondo)" u="1"/>
        <s v="Banxchange" u="1"/>
        <s v="IDRX" u="1"/>
        <s v="Pwease" u="1"/>
        <s v="BitcoinII" u="1"/>
      </sharedItems>
    </cacheField>
    <cacheField name="Symbol" numFmtId="0">
      <sharedItems containsBlank="1"/>
    </cacheField>
    <cacheField name="Price (USD)" numFmtId="0">
      <sharedItems containsString="0" containsBlank="1" containsNumber="1" minValue="0" maxValue="60968.85"/>
    </cacheField>
    <cacheField name="1h Change (%)" numFmtId="0">
      <sharedItems containsString="0" containsBlank="1" containsNumber="1" minValue="0" maxValue="0.31359999999999999"/>
    </cacheField>
    <cacheField name="Market Cap" numFmtId="0">
      <sharedItems containsString="0" containsBlank="1" containsNumber="1" containsInteger="1" minValue="949515" maxValue="1222307110742"/>
    </cacheField>
    <cacheField name="Volume (24h) USD" numFmtId="0">
      <sharedItems containsString="0" containsBlank="1" containsNumber="1" containsInteger="1" minValue="1" maxValue="128822587010"/>
    </cacheField>
    <cacheField name="Valid Coin" numFmtId="0">
      <sharedItems containsBlank="1" count="3">
        <s v="Yes"/>
        <s v="No"/>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
  <r>
    <x v="0"/>
    <x v="0"/>
    <n v="127.72"/>
    <n v="4.1000000000000003E-3"/>
    <n v="1.61E-2"/>
    <n v="0.13289999999999999"/>
    <n v="13202575"/>
    <n v="129.80994003455635"/>
    <n v="112.7372230558743"/>
    <n v="5.1033333333333326E-2"/>
    <x v="0"/>
  </r>
  <r>
    <x v="1"/>
    <x v="1"/>
    <n v="63814.36"/>
    <n v="9.7999999999999997E-3"/>
    <n v="1.8800000000000001E-2"/>
    <n v="0.1206"/>
    <n v="1273215149892"/>
    <n v="65037.056665307791"/>
    <n v="56946.600035695163"/>
    <n v="4.9733333333333331E-2"/>
    <x v="0"/>
  </r>
  <r>
    <x v="2"/>
    <x v="2"/>
    <n v="1693.26"/>
    <n v="1.47E-2"/>
    <n v="3.8199999999999998E-2"/>
    <n v="0.14549999999999999"/>
    <n v="203355684748"/>
    <n v="1760.5115408608858"/>
    <n v="1478.1841990397206"/>
    <n v="6.6133333333333336E-2"/>
    <x v="0"/>
  </r>
  <r>
    <x v="3"/>
    <x v="3"/>
    <n v="0.99939999999999996"/>
    <n v="2.0000000000000001E-4"/>
    <n v="2.9999999999999997E-4"/>
    <n v="5.9999999999999995E-4"/>
    <n v="186861336606"/>
    <n v="0.99969990997299185"/>
    <n v="0.99880071956825911"/>
    <n v="3.6666666666666662E-4"/>
    <x v="1"/>
  </r>
  <r>
    <x v="4"/>
    <x v="4"/>
    <n v="602.91999999999996"/>
    <n v="8.0999999999999996E-3"/>
    <n v="1.5800000000000002E-2"/>
    <n v="0.13739999999999999"/>
    <n v="81123361095"/>
    <n v="612.59906523064421"/>
    <n v="530.08616142078426"/>
    <n v="5.3766666666666664E-2"/>
    <x v="0"/>
  </r>
  <r>
    <x v="5"/>
    <x v="5"/>
    <n v="0.99960000000000004"/>
    <n v="0"/>
    <n v="1E-4"/>
    <n v="0"/>
    <n v="75594434986"/>
    <n v="0.99969996999699973"/>
    <n v="0.99960000000000004"/>
    <n v="3.3333333333333335E-5"/>
    <x v="1"/>
  </r>
  <r>
    <x v="6"/>
    <x v="6"/>
    <n v="1.1499999999999999"/>
    <n v="1.2200000000000001E-2"/>
    <n v="2.06E-2"/>
    <n v="0.111"/>
    <n v="71961069533"/>
    <n v="1.1741882785378801"/>
    <n v="1.0351035103510351"/>
    <n v="4.7933333333333335E-2"/>
    <x v="1"/>
  </r>
  <r>
    <x v="7"/>
    <x v="7"/>
    <n v="66.77"/>
    <n v="1.15E-2"/>
    <n v="3.0700000000000002E-2"/>
    <n v="0.17599999999999999"/>
    <n v="38692194940"/>
    <n v="68.884762199525426"/>
    <n v="56.777210884353742"/>
    <n v="7.273333333333333E-2"/>
    <x v="0"/>
  </r>
  <r>
    <x v="8"/>
    <x v="8"/>
    <n v="0.32719999999999999"/>
    <n v="3.0999999999999999E-3"/>
    <n v="4.5999999999999999E-3"/>
    <n v="6.5000000000000002E-2"/>
    <n v="31027267864"/>
    <n v="0.32871207554751858"/>
    <n v="0.30723004694835682"/>
    <n v="2.4233333333333332E-2"/>
    <x v="2"/>
  </r>
  <r>
    <x v="9"/>
    <x v="9"/>
    <n v="62.03"/>
    <n v="1.17E-2"/>
    <n v="5.11E-2"/>
    <n v="0.1555"/>
    <n v="15743585217"/>
    <n v="65.37042891769417"/>
    <n v="53.682388576373867"/>
    <n v="7.276666666666666E-2"/>
    <x v="0"/>
  </r>
  <r>
    <x v="10"/>
    <x v="10"/>
    <n v="8.6400000000000005E-2"/>
    <n v="1.06E-2"/>
    <n v="2.3099999999999999E-2"/>
    <n v="0.13550000000000001"/>
    <n v="13360295911"/>
    <n v="8.8443034087419395E-2"/>
    <n v="7.6089828269484822E-2"/>
    <n v="5.6400000000000006E-2"/>
    <x v="2"/>
  </r>
  <r>
    <x v="11"/>
    <x v="11"/>
    <n v="9.5399999999999991"/>
    <n v="1.03E-2"/>
    <n v="1.2999999999999999E-3"/>
    <n v="4.4600000000000001E-2"/>
    <n v="8788747638"/>
    <n v="9.552418143586662"/>
    <n v="9.1326823664560592"/>
    <n v="1.8733333333333334E-2"/>
    <x v="3"/>
  </r>
  <r>
    <x v="12"/>
    <x v="12"/>
    <n v="435.68"/>
    <n v="2.07E-2"/>
    <n v="6.9400000000000003E-2"/>
    <n v="0.2021"/>
    <n v="7279363302"/>
    <n v="468.17107242639162"/>
    <n v="362.43240994925549"/>
    <n v="9.74E-2"/>
    <x v="0"/>
  </r>
  <r>
    <x v="13"/>
    <x v="13"/>
    <n v="0.2021"/>
    <n v="7.0000000000000001E-3"/>
    <n v="1.7100000000000001E-2"/>
    <n v="0.23039999999999999"/>
    <n v="6817834354"/>
    <n v="0.2056160341845559"/>
    <n v="0.16425552665799742"/>
    <n v="8.483333333333333E-2"/>
    <x v="2"/>
  </r>
  <r>
    <x v="14"/>
    <x v="14"/>
    <n v="0.1565"/>
    <n v="1.04E-2"/>
    <n v="7.6799999999999993E-2"/>
    <n v="1.2500000000000001E-2"/>
    <n v="6065288369"/>
    <n v="0.16951906412478335"/>
    <n v="0.1545679012345679"/>
    <n v="3.323333333333333E-2"/>
    <x v="2"/>
  </r>
  <r>
    <x v="15"/>
    <x v="15"/>
    <n v="0.2016"/>
    <n v="1.24E-2"/>
    <n v="4.6800000000000001E-2"/>
    <n v="5.4899999999999997E-2"/>
    <n v="305477066"/>
    <n v="0.21149811162400334"/>
    <n v="0.19110816191108163"/>
    <n v="3.8033333333333336E-2"/>
    <x v="2"/>
  </r>
  <r>
    <x v="16"/>
    <x v="16"/>
    <n v="0.629"/>
    <n v="1.2999999999999999E-2"/>
    <n v="2.1899999999999999E-2"/>
    <n v="0.16189999999999999"/>
    <n v="302269689"/>
    <n v="0.64308352929148349"/>
    <n v="0.5413546776831053"/>
    <n v="6.5599999999999992E-2"/>
    <x v="1"/>
  </r>
  <r>
    <x v="17"/>
    <x v="17"/>
    <n v="0.3241"/>
    <n v="2.1399999999999999E-2"/>
    <n v="2.2200000000000001E-2"/>
    <n v="0.16739999999999999"/>
    <n v="298190270"/>
    <n v="0.33145837594600125"/>
    <n v="0.27762549254754154"/>
    <n v="7.0333333333333331E-2"/>
    <x v="2"/>
  </r>
  <r>
    <x v="18"/>
    <x v="18"/>
    <n v="0.31609999999999999"/>
    <n v="2.29E-2"/>
    <n v="2.4799999999999999E-2"/>
    <n v="4.1700000000000001E-2"/>
    <n v="294371405"/>
    <n v="0.32413863822805578"/>
    <n v="0.30344628971872895"/>
    <n v="2.9800000000000004E-2"/>
    <x v="2"/>
  </r>
  <r>
    <x v="19"/>
    <x v="19"/>
    <n v="0.29089999999999999"/>
    <n v="5.8999999999999999E-3"/>
    <n v="1.83E-2"/>
    <n v="0.13780000000000001"/>
    <n v="290941128"/>
    <n v="0.29632270551084849"/>
    <n v="0.25566883459307438"/>
    <n v="5.3999999999999999E-2"/>
    <x v="2"/>
  </r>
  <r>
    <x v="20"/>
    <x v="20"/>
    <n v="0.14349999999999999"/>
    <n v="3.3599999999999998E-2"/>
    <n v="0.114"/>
    <n v="9.8299999999999998E-2"/>
    <n v="287106996"/>
    <n v="0.16196388261851014"/>
    <n v="0.13065646908859144"/>
    <n v="8.1966666666666674E-2"/>
    <x v="2"/>
  </r>
  <r>
    <x v="21"/>
    <x v="21"/>
    <n v="0.24859999999999999"/>
    <n v="1.6299999999999999E-2"/>
    <n v="9.7000000000000003E-3"/>
    <n v="0.21329999999999999"/>
    <n v="270396237"/>
    <n v="0.25103503988690296"/>
    <n v="0.20489573889392565"/>
    <n v="7.9766666666666666E-2"/>
    <x v="2"/>
  </r>
  <r>
    <x v="22"/>
    <x v="22"/>
    <n v="0.30520000000000003"/>
    <n v="1.4200000000000001E-2"/>
    <n v="1.34E-2"/>
    <n v="0.16969999999999999"/>
    <n v="268853088"/>
    <n v="0.30934522602878572"/>
    <n v="0.26092160383004193"/>
    <n v="6.5766666666666654E-2"/>
    <x v="2"/>
  </r>
  <r>
    <x v="23"/>
    <x v="23"/>
    <n v="6.2700000000000006E-2"/>
    <n v="1.2999999999999999E-3"/>
    <n v="8.8000000000000005E-3"/>
    <n v="0.1326"/>
    <n v="265612582"/>
    <n v="6.3256658595641654E-2"/>
    <n v="5.535935016775561E-2"/>
    <n v="4.7566666666666667E-2"/>
    <x v="2"/>
  </r>
  <r>
    <x v="24"/>
    <x v="24"/>
    <n v="6.2700000000000006E-2"/>
    <n v="5.9999999999999995E-4"/>
    <n v="6.9999999999999999E-4"/>
    <n v="2.1899999999999999E-2"/>
    <n v="264823743"/>
    <n v="6.2743920744521176E-2"/>
    <n v="6.1356297093649086E-2"/>
    <n v="7.7333333333333325E-3"/>
    <x v="2"/>
  </r>
  <r>
    <x v="25"/>
    <x v="25"/>
    <n v="0.26440000000000002"/>
    <n v="1.5E-3"/>
    <n v="3.7699999999999997E-2"/>
    <n v="0.5998"/>
    <n v="264465683"/>
    <n v="0.27475839135404762"/>
    <n v="0.16527065883235406"/>
    <n v="0.21299999999999999"/>
    <x v="2"/>
  </r>
  <r>
    <x v="26"/>
    <x v="26"/>
    <n v="2.52E-2"/>
    <n v="8.3999999999999995E-3"/>
    <n v="1.6999999999999999E-3"/>
    <n v="0.26279999999999998"/>
    <n v="262120882"/>
    <n v="2.5242912952018432E-2"/>
    <n v="1.9955654101995568E-2"/>
    <n v="9.0966666666666654E-2"/>
    <x v="4"/>
  </r>
  <r>
    <x v="27"/>
    <x v="27"/>
    <n v="2.5999999999999999E-3"/>
    <n v="1.0800000000000001E-2"/>
    <n v="3.8600000000000002E-2"/>
    <n v="0.1148"/>
    <n v="261786182"/>
    <n v="2.7043894320782189E-3"/>
    <n v="2.3322569070685323E-3"/>
    <n v="5.4733333333333335E-2"/>
    <x v="4"/>
  </r>
  <r>
    <x v="28"/>
    <x v="28"/>
    <n v="2.1999999999999999E-2"/>
    <n v="1.5599999999999999E-2"/>
    <n v="4.0899999999999999E-2"/>
    <n v="3.6200000000000003E-2"/>
    <n v="260554176"/>
    <n v="2.2938171202168699E-2"/>
    <n v="2.1231422505307854E-2"/>
    <n v="3.09E-2"/>
    <x v="4"/>
  </r>
  <r>
    <x v="29"/>
    <x v="29"/>
    <n v="96.31"/>
    <n v="1.29E-2"/>
    <n v="3.1099999999999999E-2"/>
    <n v="9.6100000000000005E-2"/>
    <n v="254227183"/>
    <n v="99.401383011662716"/>
    <n v="87.866070613995063"/>
    <n v="4.6699999999999998E-2"/>
    <x v="0"/>
  </r>
  <r>
    <x v="30"/>
    <x v="30"/>
    <n v="1.3299999999999999E-2"/>
    <n v="6.3E-3"/>
    <n v="1E-4"/>
    <n v="5.0799999999999998E-2"/>
    <n v="8310815292"/>
    <n v="1.33013301330133E-2"/>
    <n v="1.2657023220403503E-2"/>
    <n v="1.9066666666666666E-2"/>
    <x v="4"/>
  </r>
  <r>
    <x v="31"/>
    <x v="31"/>
    <n v="12.91"/>
    <n v="2.2100000000000002E-2"/>
    <n v="2.7199999999999998E-2"/>
    <n v="7.4999999999999997E-3"/>
    <n v="4001654108"/>
    <n v="13.270970394736842"/>
    <n v="12.813895781637717"/>
    <n v="1.8933333333333333E-2"/>
    <x v="3"/>
  </r>
  <r>
    <x v="32"/>
    <x v="32"/>
    <n v="1.1299999999999999"/>
    <n v="1E-4"/>
    <n v="1.1000000000000001E-3"/>
    <n v="6.9999999999999999E-4"/>
    <n v="2138935849"/>
    <n v="1.1312443688056861"/>
    <n v="1.1292095533126811"/>
    <n v="6.333333333333334E-4"/>
    <x v="1"/>
  </r>
  <r>
    <x v="33"/>
    <x v="33"/>
    <n v="5.1799999999999999E-2"/>
    <n v="1.6999999999999999E-3"/>
    <n v="1.2800000000000001E-2"/>
    <n v="5.3900000000000003E-2"/>
    <n v="1590003092"/>
    <n v="5.2471636952998377E-2"/>
    <n v="4.9150773318151625E-2"/>
    <n v="2.2800000000000001E-2"/>
    <x v="2"/>
  </r>
  <r>
    <x v="34"/>
    <x v="34"/>
    <n v="0.996"/>
    <n v="4.0000000000000002E-4"/>
    <n v="4.0000000000000002E-4"/>
    <n v="1E-3"/>
    <n v="1297218130"/>
    <n v="0.99639855942376943"/>
    <n v="0.99500499500499506"/>
    <n v="5.9999999999999995E-4"/>
    <x v="1"/>
  </r>
  <r>
    <x v="35"/>
    <x v="35"/>
    <n v="0.1905"/>
    <n v="4.7999999999999996E-3"/>
    <n v="1.2699999999999999E-2"/>
    <n v="7.4899999999999994E-2"/>
    <n v="849663238"/>
    <n v="0.19295047098146462"/>
    <n v="0.17722578844543679"/>
    <n v="3.0799999999999998E-2"/>
    <x v="2"/>
  </r>
  <r>
    <x v="36"/>
    <x v="36"/>
    <n v="3.35"/>
    <n v="6.3E-3"/>
    <n v="1.8499999999999999E-2"/>
    <n v="0.106"/>
    <n v="740233170"/>
    <n v="3.4131431482424861"/>
    <n v="3.0289330922242312"/>
    <n v="4.36E-2"/>
    <x v="1"/>
  </r>
  <r>
    <x v="37"/>
    <x v="37"/>
    <n v="7.8899999999999998E-2"/>
    <n v="1E-4"/>
    <n v="3.8999999999999998E-3"/>
    <n v="7.6E-3"/>
    <n v="610737550"/>
    <n v="7.9208914767593619E-2"/>
    <n v="7.8304882890035718E-2"/>
    <n v="3.8666666666666663E-3"/>
    <x v="2"/>
  </r>
  <r>
    <x v="38"/>
    <x v="38"/>
    <n v="0.99919999999999998"/>
    <n v="1E-4"/>
    <n v="1E-4"/>
    <n v="1E-4"/>
    <n v="583590716"/>
    <n v="0.99929992999299921"/>
    <n v="0.99910008999100086"/>
    <n v="1E-4"/>
    <x v="1"/>
  </r>
  <r>
    <x v="39"/>
    <x v="39"/>
    <n v="105.91"/>
    <n v="0"/>
    <n v="0"/>
    <n v="1.17E-2"/>
    <n v="571672236"/>
    <n v="105.91"/>
    <n v="104.68518335474943"/>
    <n v="3.9000000000000003E-3"/>
    <x v="0"/>
  </r>
  <r>
    <x v="40"/>
    <x v="40"/>
    <n v="0.99850000000000005"/>
    <n v="0"/>
    <n v="1E-4"/>
    <n v="0"/>
    <n v="558965543"/>
    <n v="0.99859985998599865"/>
    <n v="0.99850000000000005"/>
    <n v="3.3333333333333335E-5"/>
    <x v="1"/>
  </r>
  <r>
    <x v="41"/>
    <x v="41"/>
    <n v="0.99939999999999996"/>
    <n v="0"/>
    <n v="1E-4"/>
    <n v="2.0000000000000001E-4"/>
    <n v="501065055"/>
    <n v="0.99949994999499947"/>
    <n v="0.99920015996800637"/>
    <n v="1E-4"/>
    <x v="1"/>
  </r>
  <r>
    <x v="42"/>
    <x v="42"/>
    <n v="1"/>
    <n v="1E-4"/>
    <n v="4.0000000000000002E-4"/>
    <n v="1.9E-3"/>
    <n v="491353868"/>
    <n v="1.0004001600640255"/>
    <n v="0.99810360315400737"/>
    <n v="8.0000000000000004E-4"/>
    <x v="1"/>
  </r>
  <r>
    <x v="43"/>
    <x v="43"/>
    <n v="0.1227"/>
    <n v="1.5100000000000001E-2"/>
    <n v="1.8200000000000001E-2"/>
    <n v="0.29870000000000002"/>
    <n v="306848589"/>
    <n v="0.12497453656549196"/>
    <n v="9.4479094479094486E-2"/>
    <n v="0.11066666666666668"/>
    <x v="2"/>
  </r>
  <r>
    <x v="44"/>
    <x v="44"/>
    <n v="1"/>
    <n v="0"/>
    <n v="1E-4"/>
    <n v="2.0000000000000001E-4"/>
    <n v="305668004"/>
    <n v="1.000100010001"/>
    <n v="0.99980003999200162"/>
    <n v="1E-4"/>
    <x v="1"/>
  </r>
  <r>
    <x v="45"/>
    <x v="45"/>
    <n v="511.93"/>
    <n v="0"/>
    <n v="0"/>
    <n v="5.8999999999999999E-3"/>
    <n v="71492120"/>
    <n v="511.93"/>
    <n v="508.92732876031414"/>
    <n v="1.9666666666666665E-3"/>
    <x v="0"/>
  </r>
  <r>
    <x v="46"/>
    <x v="46"/>
    <n v="0.25729999999999997"/>
    <n v="2.6200000000000001E-2"/>
    <n v="5.5199999999999999E-2"/>
    <n v="0.27400000000000002"/>
    <n v="71099173"/>
    <n v="0.2723327688399661"/>
    <n v="0.20196232339089479"/>
    <n v="0.11846666666666668"/>
    <x v="2"/>
  </r>
  <r>
    <x v="47"/>
    <x v="47"/>
    <n v="0.1779"/>
    <n v="1.3299999999999999E-2"/>
    <n v="7.9399999999999998E-2"/>
    <n v="0.2117"/>
    <n v="71061929"/>
    <n v="0.19324353682381057"/>
    <n v="0.14681851943550384"/>
    <n v="0.10146666666666666"/>
    <x v="2"/>
  </r>
  <r>
    <x v="48"/>
    <x v="48"/>
    <n v="3.2199999999999999E-2"/>
    <n v="2.8999999999999998E-3"/>
    <n v="6.2100000000000002E-2"/>
    <n v="6.2399999999999997E-2"/>
    <n v="70926922"/>
    <n v="3.4332018338842092E-2"/>
    <n v="3.0308734939759035E-2"/>
    <n v="4.2466666666666673E-2"/>
    <x v="4"/>
  </r>
  <r>
    <x v="49"/>
    <x v="49"/>
    <n v="1.7500000000000002E-2"/>
    <n v="1.5E-3"/>
    <n v="6.0000000000000001E-3"/>
    <n v="0.1002"/>
    <n v="70637971"/>
    <n v="1.7605633802816902E-2"/>
    <n v="1.5906198872932195E-2"/>
    <n v="3.5899999999999994E-2"/>
    <x v="4"/>
  </r>
  <r>
    <x v="50"/>
    <x v="50"/>
    <n v="4.3E-3"/>
    <n v="1.2800000000000001E-2"/>
    <n v="1.1299999999999999E-2"/>
    <n v="0.1721"/>
    <n v="70321185"/>
    <n v="4.3491453423687666E-3"/>
    <n v="3.6686289565736716E-3"/>
    <n v="6.54E-2"/>
    <x v="4"/>
  </r>
  <r>
    <x v="51"/>
    <x v="51"/>
    <n v="2.4199999999999999E-2"/>
    <n v="7.7000000000000002E-3"/>
    <n v="3.5999999999999997E-2"/>
    <n v="7.8700000000000006E-2"/>
    <n v="70159996"/>
    <n v="2.5103734439834026E-2"/>
    <n v="2.2434411791971816E-2"/>
    <n v="4.0800000000000003E-2"/>
    <x v="4"/>
  </r>
  <r>
    <x v="52"/>
    <x v="52"/>
    <n v="4.5999999999999996"/>
    <n v="3.5999999999999999E-3"/>
    <n v="4.3E-3"/>
    <n v="0.17460000000000001"/>
    <n v="69908783"/>
    <n v="4.6198654213116397"/>
    <n v="3.9162268006129741"/>
    <n v="6.083333333333333E-2"/>
    <x v="1"/>
  </r>
  <r>
    <x v="53"/>
    <x v="53"/>
    <n v="0.10970000000000001"/>
    <n v="5.04E-2"/>
    <n v="9.8799999999999999E-2"/>
    <n v="0.1129"/>
    <n v="69873585"/>
    <n v="0.1217265867731913"/>
    <n v="9.8571300206667267E-2"/>
    <n v="8.7366666666666662E-2"/>
    <x v="2"/>
  </r>
  <r>
    <x v="54"/>
    <x v="54"/>
    <n v="0.15840000000000001"/>
    <n v="2.2000000000000001E-3"/>
    <n v="2.4199999999999999E-2"/>
    <n v="4.4999999999999998E-2"/>
    <n v="69531565"/>
    <n v="0.16232834597253537"/>
    <n v="0.15157894736842106"/>
    <n v="2.3799999999999998E-2"/>
    <x v="2"/>
  </r>
  <r>
    <x v="55"/>
    <x v="55"/>
    <n v="80.55"/>
    <n v="2.0000000000000001E-4"/>
    <n v="3.4000000000000002E-2"/>
    <n v="1.24E-2"/>
    <n v="68603076"/>
    <n v="83.385093167701868"/>
    <n v="79.563413670485971"/>
    <n v="1.5533333333333335E-2"/>
    <x v="0"/>
  </r>
  <r>
    <x v="56"/>
    <x v="56"/>
    <n v="2.0000000000000001E-4"/>
    <n v="1.5699999999999999E-2"/>
    <n v="0.20419999999999999"/>
    <n v="0.41320000000000001"/>
    <n v="68684920"/>
    <n v="2.5131942699170643E-4"/>
    <n v="1.4152278516841213E-4"/>
    <n v="0.21103333333333332"/>
    <x v="4"/>
  </r>
  <r>
    <x v="57"/>
    <x v="57"/>
    <n v="0.2858"/>
    <n v="2.29E-2"/>
    <n v="5.91E-2"/>
    <n v="0.10920000000000001"/>
    <n v="68323715"/>
    <n v="0.30375172706982678"/>
    <n v="0.25766318067075372"/>
    <n v="6.3733333333333336E-2"/>
    <x v="2"/>
  </r>
  <r>
    <x v="58"/>
    <x v="58"/>
    <n v="0.2747"/>
    <n v="1.77E-2"/>
    <n v="1.0200000000000001E-2"/>
    <n v="8.7300000000000003E-2"/>
    <n v="68165381"/>
    <n v="0.27753081430592036"/>
    <n v="0.2526441644440357"/>
    <n v="3.8399999999999997E-2"/>
    <x v="2"/>
  </r>
  <r>
    <x v="59"/>
    <x v="59"/>
    <n v="1901.41"/>
    <n v="1.6199999999999999E-2"/>
    <n v="3.0700000000000002E-2"/>
    <n v="0.1799"/>
    <n v="68101031"/>
    <n v="1961.6321056432478"/>
    <n v="1611.5009746588696"/>
    <n v="7.5600000000000001E-2"/>
    <x v="0"/>
  </r>
  <r>
    <x v="60"/>
    <x v="60"/>
    <n v="1.6000000000000001E-3"/>
    <n v="1.34E-2"/>
    <n v="4.2900000000000001E-2"/>
    <n v="5.1999999999999998E-2"/>
    <n v="50910648"/>
    <n v="1.6717166440288374E-3"/>
    <n v="1.520912547528517E-3"/>
    <n v="3.61E-2"/>
    <x v="4"/>
  </r>
  <r>
    <x v="61"/>
    <x v="61"/>
    <n v="77.069999999999993"/>
    <n v="1.5299999999999999E-2"/>
    <n v="2.7000000000000001E-3"/>
    <n v="0.1171"/>
    <n v="50533972"/>
    <n v="77.278652361375705"/>
    <n v="68.991137767433528"/>
    <n v="4.5033333333333335E-2"/>
    <x v="0"/>
  </r>
  <r>
    <x v="62"/>
    <x v="62"/>
    <n v="489.4"/>
    <n v="1E-4"/>
    <n v="7.4000000000000003E-3"/>
    <n v="2.8000000000000001E-2"/>
    <n v="50373695"/>
    <n v="493.04855933910937"/>
    <n v="476.07003891050579"/>
    <n v="1.1833333333333335E-2"/>
    <x v="0"/>
  </r>
  <r>
    <x v="63"/>
    <x v="63"/>
    <n v="1.78E-2"/>
    <n v="1.9400000000000001E-2"/>
    <n v="3.8199999999999998E-2"/>
    <n v="0.15129999999999999"/>
    <n v="50225420"/>
    <n v="1.8506966105219382E-2"/>
    <n v="1.5460783462173196E-2"/>
    <n v="6.9633333333333325E-2"/>
    <x v="4"/>
  </r>
  <r>
    <x v="64"/>
    <x v="64"/>
    <n v="5.7999999999999996E-3"/>
    <n v="2.3099999999999999E-2"/>
    <n v="9.5999999999999992E-3"/>
    <n v="0.21540000000000001"/>
    <n v="50107956"/>
    <n v="5.8562197092084005E-3"/>
    <n v="4.7720914925127528E-3"/>
    <n v="8.270000000000001E-2"/>
    <x v="4"/>
  </r>
  <r>
    <x v="65"/>
    <x v="65"/>
    <n v="3.4"/>
    <n v="2.4899999999999999E-2"/>
    <n v="0.31869999999999998"/>
    <n v="0.4269"/>
    <n v="49957470"/>
    <n v="4.9904594158226914"/>
    <n v="2.3827878617983038"/>
    <n v="0.2568333333333333"/>
    <x v="1"/>
  </r>
  <r>
    <x v="66"/>
    <x v="66"/>
    <n v="6.4600000000000005E-2"/>
    <n v="1.24E-2"/>
    <n v="1E-3"/>
    <n v="0.23760000000000001"/>
    <n v="49930795"/>
    <n v="6.4664664664664667E-2"/>
    <n v="5.21978021978022E-2"/>
    <n v="8.3666666666666667E-2"/>
    <x v="2"/>
  </r>
  <r>
    <x v="67"/>
    <x v="67"/>
    <n v="81.489999999999995"/>
    <n v="0"/>
    <n v="1.23E-2"/>
    <n v="8.3699999999999997E-2"/>
    <n v="49547294"/>
    <n v="82.504809152576684"/>
    <n v="75.196087478084337"/>
    <n v="3.2000000000000001E-2"/>
    <x v="0"/>
  </r>
  <r>
    <x v="68"/>
    <x v="68"/>
    <n v="3.5999999999999999E-3"/>
    <n v="5.1999999999999998E-3"/>
    <n v="3.0000000000000001E-3"/>
    <n v="9.5500000000000002E-2"/>
    <n v="49518092"/>
    <n v="3.6108324974924774E-3"/>
    <n v="3.2861706983112735E-3"/>
    <n v="3.4566666666666669E-2"/>
    <x v="4"/>
  </r>
  <r>
    <x v="69"/>
    <x v="69"/>
    <n v="4.2200000000000001E-2"/>
    <n v="4.1000000000000003E-3"/>
    <n v="0.1888"/>
    <n v="0.22409999999999999"/>
    <n v="49454846"/>
    <n v="5.2021696252465485E-2"/>
    <n v="3.4474307654603381E-2"/>
    <n v="0.13899999999999998"/>
    <x v="4"/>
  </r>
  <r>
    <x v="70"/>
    <x v="70"/>
    <n v="11.19"/>
    <n v="1.15E-2"/>
    <n v="1.5100000000000001E-2"/>
    <n v="0.1777"/>
    <n v="49400564"/>
    <n v="11.361559549192812"/>
    <n v="9.5015708584529168"/>
    <n v="6.8099999999999994E-2"/>
    <x v="3"/>
  </r>
  <r>
    <x v="71"/>
    <x v="71"/>
    <n v="2.7000000000000001E-3"/>
    <n v="7.1400000000000005E-2"/>
    <n v="2.52E-2"/>
    <n v="0.17230000000000001"/>
    <n v="49301718"/>
    <n v="2.7697989331144854E-3"/>
    <n v="2.3031647189286023E-3"/>
    <n v="8.9633333333333343E-2"/>
    <x v="4"/>
  </r>
  <r>
    <x v="72"/>
    <x v="72"/>
    <n v="0.17150000000000001"/>
    <n v="9.1000000000000004E-3"/>
    <n v="1.6299999999999999E-2"/>
    <n v="0.16869999999999999"/>
    <n v="49208826"/>
    <n v="0.17434177086510116"/>
    <n v="0.14674424574313341"/>
    <n v="6.4699999999999994E-2"/>
    <x v="2"/>
  </r>
  <r>
    <x v="73"/>
    <x v="73"/>
    <n v="21.68"/>
    <n v="1.4E-3"/>
    <n v="1.09E-2"/>
    <n v="2.18E-2"/>
    <n v="48969188"/>
    <n v="21.91891618643211"/>
    <n v="21.217459385398314"/>
    <n v="1.1366666666666666E-2"/>
    <x v="3"/>
  </r>
  <r>
    <x v="74"/>
    <x v="74"/>
    <n v="9.7999999999999997E-3"/>
    <n v="3.8800000000000001E-2"/>
    <n v="3.5000000000000001E-3"/>
    <n v="0.2727"/>
    <n v="48870253"/>
    <n v="9.8344204716507774E-3"/>
    <n v="7.7001650035357899E-3"/>
    <n v="0.105"/>
    <x v="4"/>
  </r>
  <r>
    <x v="75"/>
    <x v="75"/>
    <n v="286.19"/>
    <n v="2.1399999999999999E-2"/>
    <n v="8.0000000000000002E-3"/>
    <n v="0.44319999999999998"/>
    <n v="36637822"/>
    <n v="288.49798387096774"/>
    <n v="198.30238359201772"/>
    <n v="0.15753333333333333"/>
    <x v="0"/>
  </r>
  <r>
    <x v="76"/>
    <x v="76"/>
    <n v="78.3"/>
    <n v="4.7999999999999996E-3"/>
    <n v="4.3299999999999998E-2"/>
    <n v="0.3695"/>
    <n v="36442512"/>
    <n v="81.843838193791157"/>
    <n v="57.174151150054762"/>
    <n v="0.13919999999999999"/>
    <x v="0"/>
  </r>
  <r>
    <x v="77"/>
    <x v="77"/>
    <n v="716.09"/>
    <n v="6.7000000000000002E-3"/>
    <n v="1.84E-2"/>
    <n v="3.44E-2"/>
    <n v="36435709"/>
    <n v="729.5130399348003"/>
    <n v="692.27571539056464"/>
    <n v="1.9833333333333331E-2"/>
    <x v="0"/>
  </r>
  <r>
    <x v="78"/>
    <x v="78"/>
    <n v="0.18579999999999999"/>
    <n v="6.1000000000000004E-3"/>
    <n v="3.2800000000000003E-2"/>
    <n v="0.15290000000000001"/>
    <n v="36237522"/>
    <n v="0.19210090984284534"/>
    <n v="0.16115881689652181"/>
    <n v="6.3933333333333342E-2"/>
    <x v="2"/>
  </r>
  <r>
    <x v="79"/>
    <x v="79"/>
    <n v="0.36070000000000002"/>
    <n v="1.7000000000000001E-2"/>
    <n v="6.4000000000000003E-3"/>
    <n v="0.16450000000000001"/>
    <n v="36076778"/>
    <n v="0.36302334943639292"/>
    <n v="0.30974667239158438"/>
    <n v="6.2633333333333333E-2"/>
    <x v="2"/>
  </r>
  <r>
    <x v="80"/>
    <x v="80"/>
    <n v="7.6100000000000001E-2"/>
    <n v="1.43E-2"/>
    <n v="8.2100000000000006E-2"/>
    <n v="7.3000000000000001E-3"/>
    <n v="36028926"/>
    <n v="8.2906634709663363E-2"/>
    <n v="7.5548495979350733E-2"/>
    <n v="3.4566666666666669E-2"/>
    <x v="2"/>
  </r>
  <r>
    <x v="81"/>
    <x v="81"/>
    <n v="1.01"/>
    <n v="8.3000000000000001E-3"/>
    <n v="1.78E-2"/>
    <n v="0.1191"/>
    <n v="35979056"/>
    <n v="1.0283038077784565"/>
    <n v="0.90251094629613082"/>
    <n v="4.8399999999999999E-2"/>
    <x v="1"/>
  </r>
  <r>
    <x v="82"/>
    <x v="82"/>
    <n v="0.10580000000000001"/>
    <n v="7.3000000000000001E-3"/>
    <n v="1.7100000000000001E-2"/>
    <n v="0.1241"/>
    <n v="35960839"/>
    <n v="0.1076406552039882"/>
    <n v="9.4119740236633748E-2"/>
    <n v="4.9499999999999995E-2"/>
    <x v="2"/>
  </r>
  <r>
    <x v="83"/>
    <x v="83"/>
    <n v="4.7000000000000002E-3"/>
    <n v="1.17E-2"/>
    <n v="1.4999999999999999E-2"/>
    <n v="0.1391"/>
    <n v="35784755"/>
    <n v="4.7715736040609136E-3"/>
    <n v="4.126064436836099E-3"/>
    <n v="5.5266666666666665E-2"/>
    <x v="4"/>
  </r>
  <r>
    <x v="84"/>
    <x v="84"/>
    <n v="4.2000000000000003E-2"/>
    <n v="5.7000000000000002E-3"/>
    <n v="2.1999999999999999E-2"/>
    <n v="3.6499999999999998E-2"/>
    <n v="35751976"/>
    <n v="4.2944785276073622E-2"/>
    <n v="4.0520984081041975E-2"/>
    <n v="2.1399999999999999E-2"/>
    <x v="4"/>
  </r>
  <r>
    <x v="85"/>
    <x v="85"/>
    <n v="0.25790000000000002"/>
    <n v="7.3000000000000001E-3"/>
    <n v="9.1999999999999998E-3"/>
    <n v="0.18029999999999999"/>
    <n v="35748783"/>
    <n v="0.26029471134436821"/>
    <n v="0.21850377022790818"/>
    <n v="6.5599999999999992E-2"/>
    <x v="2"/>
  </r>
  <r>
    <x v="86"/>
    <x v="86"/>
    <n v="2.2000000000000001E-3"/>
    <n v="1.4999999999999999E-2"/>
    <n v="1.6899999999999998E-2"/>
    <n v="0.20849999999999999"/>
    <n v="35687264"/>
    <n v="2.2378191435255827E-3"/>
    <n v="1.8204385601985936E-3"/>
    <n v="8.0133333333333334E-2"/>
    <x v="4"/>
  </r>
  <r>
    <x v="87"/>
    <x v="87"/>
    <n v="6.0499999999999998E-2"/>
    <n v="6.0100000000000001E-2"/>
    <n v="5.5999999999999999E-3"/>
    <n v="0.69369999999999998"/>
    <n v="35593996"/>
    <n v="6.0840707964601774E-2"/>
    <n v="3.5720611678573537E-2"/>
    <n v="0.25313333333333332"/>
    <x v="2"/>
  </r>
  <r>
    <x v="88"/>
    <x v="88"/>
    <n v="7.4000000000000003E-3"/>
    <n v="1.8200000000000001E-2"/>
    <n v="3.5999999999999999E-3"/>
    <n v="0.18590000000000001"/>
    <n v="35562064"/>
    <n v="7.4267362505018074E-3"/>
    <n v="6.23998650813728E-3"/>
    <n v="6.9233333333333327E-2"/>
    <x v="4"/>
  </r>
  <r>
    <x v="89"/>
    <x v="89"/>
    <n v="0.99990000000000001"/>
    <n v="1E-4"/>
    <n v="0"/>
    <n v="0"/>
    <n v="35551291"/>
    <n v="0.99990000000000001"/>
    <n v="0.99990000000000001"/>
    <n v="3.3333333333333335E-5"/>
    <x v="1"/>
  </r>
  <r>
    <x v="90"/>
    <x v="90"/>
    <n v="3.3E-3"/>
    <n v="2.6599999999999999E-2"/>
    <n v="1.9400000000000001E-2"/>
    <n v="0.1709"/>
    <n v="28596993"/>
    <n v="3.3652865592494392E-3"/>
    <n v="2.8183448629259542E-3"/>
    <n v="7.2299999999999989E-2"/>
    <x v="4"/>
  </r>
  <r>
    <x v="91"/>
    <x v="91"/>
    <n v="4.5999999999999999E-3"/>
    <n v="2.8899999999999999E-2"/>
    <n v="2.0299999999999999E-2"/>
    <n v="0.19769999999999999"/>
    <n v="28283130"/>
    <n v="4.6953148923139735E-3"/>
    <n v="3.8406946647741506E-3"/>
    <n v="8.2299999999999998E-2"/>
    <x v="4"/>
  </r>
  <r>
    <x v="92"/>
    <x v="92"/>
    <n v="1"/>
    <n v="2.7000000000000001E-3"/>
    <n v="3.3E-3"/>
    <n v="4.4999999999999997E-3"/>
    <n v="28248838"/>
    <n v="1.0033109260559847"/>
    <n v="0.99552015928322557"/>
    <n v="3.4999999999999996E-3"/>
    <x v="1"/>
  </r>
  <r>
    <x v="93"/>
    <x v="93"/>
    <n v="8.0000000000000004E-4"/>
    <n v="2.46E-2"/>
    <n v="1.6299999999999999E-2"/>
    <n v="0.18390000000000001"/>
    <n v="28205881"/>
    <n v="8.1325607400630276E-4"/>
    <n v="6.7573274769828541E-4"/>
    <n v="7.4933333333333338E-2"/>
    <x v="4"/>
  </r>
  <r>
    <x v="94"/>
    <x v="94"/>
    <n v="184.92"/>
    <n v="0"/>
    <n v="0"/>
    <n v="0.1142"/>
    <n v="28146110"/>
    <n v="184.92"/>
    <n v="165.96661281637046"/>
    <n v="3.8066666666666665E-2"/>
    <x v="0"/>
  </r>
  <r>
    <x v="95"/>
    <x v="95"/>
    <n v="2.81"/>
    <n v="0"/>
    <n v="3.2000000000000002E-3"/>
    <n v="1.2999999999999999E-3"/>
    <n v="28128769"/>
    <n v="2.8190208667736756"/>
    <n v="2.8063517427344449"/>
    <n v="1.5000000000000002E-3"/>
    <x v="1"/>
  </r>
  <r>
    <x v="96"/>
    <x v="96"/>
    <n v="3.3300000000000003E-2"/>
    <n v="8.0000000000000002E-3"/>
    <n v="1.77E-2"/>
    <n v="0.1137"/>
    <n v="27981914"/>
    <n v="3.390003054056806E-2"/>
    <n v="2.9900332225913626E-2"/>
    <n v="4.6466666666666663E-2"/>
    <x v="4"/>
  </r>
  <r>
    <x v="97"/>
    <x v="97"/>
    <n v="1.6199999999999999E-2"/>
    <n v="0.17449999999999999"/>
    <n v="6.8999999999999999E-3"/>
    <n v="6.6626000000000003"/>
    <n v="28071796"/>
    <n v="1.6312556640821669E-2"/>
    <n v="2.1141649048625789E-3"/>
    <n v="2.2813333333333334"/>
    <x v="4"/>
  </r>
  <r>
    <x v="98"/>
    <x v="98"/>
    <n v="1.4500000000000001E-2"/>
    <n v="1.6999999999999999E-3"/>
    <n v="1.1999999999999999E-3"/>
    <n v="1.03E-2"/>
    <n v="27940245"/>
    <n v="1.4517420905086103E-2"/>
    <n v="1.4352172621993469E-2"/>
    <n v="4.4000000000000003E-3"/>
    <x v="4"/>
  </r>
  <r>
    <x v="99"/>
    <x v="99"/>
    <n v="89.05"/>
    <n v="0"/>
    <n v="5.3E-3"/>
    <n v="1.35E-2"/>
    <n v="27889892"/>
    <n v="89.524479742635961"/>
    <n v="87.86383818450912"/>
    <n v="6.2666666666666669E-3"/>
    <x v="0"/>
  </r>
  <r>
    <x v="100"/>
    <x v="100"/>
    <n v="0.29220000000000002"/>
    <n v="0.01"/>
    <n v="1.01E-2"/>
    <n v="0.25800000000000001"/>
    <n v="27914330"/>
    <n v="0.29518133144762099"/>
    <n v="0.23227344992050875"/>
    <n v="9.2700000000000005E-2"/>
    <x v="2"/>
  </r>
  <r>
    <x v="101"/>
    <x v="101"/>
    <n v="2.53E-2"/>
    <n v="1.1299999999999999E-2"/>
    <n v="9.1999999999999998E-3"/>
    <n v="0.1875"/>
    <n v="27853861"/>
    <n v="2.5534921275736779E-2"/>
    <n v="2.1305263157894737E-2"/>
    <n v="6.933333333333333E-2"/>
    <x v="4"/>
  </r>
  <r>
    <x v="102"/>
    <x v="102"/>
    <n v="0.1135"/>
    <n v="3.0499999999999999E-2"/>
    <n v="1.8800000000000001E-2"/>
    <n v="0.25140000000000001"/>
    <n v="27625415"/>
    <n v="0.11567468406033429"/>
    <n v="9.0698417772095252E-2"/>
    <n v="0.10023333333333334"/>
    <x v="2"/>
  </r>
  <r>
    <x v="103"/>
    <x v="103"/>
    <n v="1E-4"/>
    <n v="2.4500000000000001E-2"/>
    <n v="1.5699999999999999E-2"/>
    <n v="0.1633"/>
    <n v="27614054"/>
    <n v="1.0159504216194251E-4"/>
    <n v="8.5962348491360784E-5"/>
    <n v="6.7833333333333343E-2"/>
    <x v="4"/>
  </r>
  <r>
    <x v="104"/>
    <x v="104"/>
    <n v="1E-3"/>
    <n v="1.1000000000000001E-3"/>
    <n v="2.7900000000000001E-2"/>
    <n v="0.1749"/>
    <n v="27619868"/>
    <n v="1.0287007509515484E-3"/>
    <n v="8.5113626691633328E-4"/>
    <n v="6.7966666666666661E-2"/>
    <x v="4"/>
  </r>
  <r>
    <x v="105"/>
    <x v="105"/>
    <n v="4.1099999999999998E-2"/>
    <n v="2.9999999999999997E-4"/>
    <n v="1.34E-2"/>
    <n v="0.2402"/>
    <n v="20903916"/>
    <n v="4.1658220150010132E-2"/>
    <n v="3.3139816158684082E-2"/>
    <n v="8.4633333333333338E-2"/>
    <x v="4"/>
  </r>
  <r>
    <x v="106"/>
    <x v="106"/>
    <n v="8.3000000000000001E-3"/>
    <n v="3.0800000000000001E-2"/>
    <n v="3.4099999999999998E-2"/>
    <n v="0.157"/>
    <n v="20778058"/>
    <n v="8.5930220519722534E-3"/>
    <n v="7.1737251512532414E-3"/>
    <n v="7.3966666666666667E-2"/>
    <x v="4"/>
  </r>
  <r>
    <x v="107"/>
    <x v="107"/>
    <n v="2.3E-2"/>
    <n v="4.6399999999999997E-2"/>
    <n v="6.0000000000000001E-3"/>
    <n v="0.41310000000000002"/>
    <n v="20680466"/>
    <n v="2.3138832997987926E-2"/>
    <n v="1.6276272026042034E-2"/>
    <n v="0.15516666666666667"/>
    <x v="4"/>
  </r>
  <r>
    <x v="108"/>
    <x v="108"/>
    <n v="3.7400000000000003E-2"/>
    <n v="8.9999999999999998E-4"/>
    <n v="1.77E-2"/>
    <n v="0.1938"/>
    <n v="20717511"/>
    <n v="3.8073908174692056E-2"/>
    <n v="3.1328530742167869E-2"/>
    <n v="7.0800000000000002E-2"/>
    <x v="4"/>
  </r>
  <r>
    <x v="109"/>
    <x v="109"/>
    <n v="1.15E-2"/>
    <n v="8.0999999999999996E-3"/>
    <n v="2.5999999999999999E-3"/>
    <n v="6.2100000000000002E-2"/>
    <n v="20545288"/>
    <n v="1.1529977942650893E-2"/>
    <n v="1.0827605686846813E-2"/>
    <n v="2.4266666666666669E-2"/>
    <x v="4"/>
  </r>
  <r>
    <x v="110"/>
    <x v="110"/>
    <n v="8.2000000000000003E-2"/>
    <n v="1.72E-2"/>
    <n v="2.64E-2"/>
    <n v="0.19189999999999999"/>
    <n v="20505217"/>
    <n v="8.422350041084635E-2"/>
    <n v="6.8797717929356489E-2"/>
    <n v="7.85E-2"/>
    <x v="2"/>
  </r>
  <r>
    <x v="111"/>
    <x v="111"/>
    <n v="4.1799999999999997E-2"/>
    <n v="1.1000000000000001E-3"/>
    <n v="5.8900000000000001E-2"/>
    <n v="0.24299999999999999"/>
    <n v="20486204"/>
    <n v="4.4416108808840712E-2"/>
    <n v="3.3628318584070796E-2"/>
    <n v="0.10099999999999999"/>
    <x v="4"/>
  </r>
  <r>
    <x v="112"/>
    <x v="112"/>
    <n v="0.20780000000000001"/>
    <n v="6.8999999999999999E-3"/>
    <n v="2.3099999999999999E-2"/>
    <n v="9.8599999999999993E-2"/>
    <n v="20481740"/>
    <n v="0.21271368615006656"/>
    <n v="0.18914982705261243"/>
    <n v="4.2866666666666664E-2"/>
    <x v="2"/>
  </r>
  <r>
    <x v="113"/>
    <x v="113"/>
    <n v="2.9999999999999997E-4"/>
    <n v="1.7600000000000001E-2"/>
    <n v="8.9999999999999998E-4"/>
    <n v="0.21149999999999999"/>
    <n v="20450868"/>
    <n v="3.00270243218897E-4"/>
    <n v="2.4762690879075525E-4"/>
    <n v="7.6666666666666661E-2"/>
    <x v="4"/>
  </r>
  <r>
    <x v="114"/>
    <x v="114"/>
    <n v="9.8799999999999999E-2"/>
    <n v="2.9999999999999997E-4"/>
    <n v="3.0999999999999999E-3"/>
    <n v="0.18260000000000001"/>
    <n v="20408565"/>
    <n v="9.9107232420503566E-2"/>
    <n v="8.3544731946558426E-2"/>
    <n v="6.2E-2"/>
    <x v="2"/>
  </r>
  <r>
    <x v="115"/>
    <x v="115"/>
    <n v="8.9599999999999999E-2"/>
    <n v="1.5100000000000001E-2"/>
    <n v="1.1900000000000001E-2"/>
    <n v="0.16520000000000001"/>
    <n v="20249745"/>
    <n v="9.067908106466957E-2"/>
    <n v="7.6896670099553727E-2"/>
    <n v="6.4066666666666675E-2"/>
    <x v="2"/>
  </r>
  <r>
    <x v="116"/>
    <x v="116"/>
    <n v="0.12620000000000001"/>
    <n v="1.0699999999999999E-2"/>
    <n v="5.0000000000000001E-4"/>
    <n v="0.18529999999999999"/>
    <n v="20210740"/>
    <n v="0.12626313156578289"/>
    <n v="0.10647093562811102"/>
    <n v="6.5499999999999989E-2"/>
    <x v="2"/>
  </r>
  <r>
    <x v="117"/>
    <x v="117"/>
    <n v="3.0999999999999999E-3"/>
    <n v="3.3000000000000002E-2"/>
    <n v="5.5500000000000001E-2"/>
    <n v="0.18149999999999999"/>
    <n v="20197745"/>
    <n v="3.2821598729486498E-3"/>
    <n v="2.6237833262801524E-3"/>
    <n v="9.0000000000000011E-2"/>
    <x v="4"/>
  </r>
  <r>
    <x v="118"/>
    <x v="118"/>
    <n v="8.8000000000000005E-3"/>
    <n v="1.7299999999999999E-2"/>
    <n v="9.5999999999999992E-3"/>
    <n v="0.2208"/>
    <n v="20184555"/>
    <n v="8.8852988691437811E-3"/>
    <n v="7.2083879423328959E-3"/>
    <n v="8.2566666666666663E-2"/>
    <x v="4"/>
  </r>
  <r>
    <x v="119"/>
    <x v="119"/>
    <n v="4.78"/>
    <n v="1.3100000000000001E-2"/>
    <n v="1.5100000000000001E-2"/>
    <n v="0.2084"/>
    <n v="20176681"/>
    <n v="4.8532845974210579"/>
    <n v="3.9556438265475014"/>
    <n v="7.8866666666666668E-2"/>
    <x v="1"/>
  </r>
  <r>
    <x v="120"/>
    <x v="120"/>
    <n v="1.7399999999999999E-2"/>
    <n v="3.0999999999999999E-3"/>
    <n v="4.8999999999999998E-3"/>
    <n v="0.15190000000000001"/>
    <n v="15774899"/>
    <n v="1.7485679831172746E-2"/>
    <n v="1.5105477906068235E-2"/>
    <n v="5.3300000000000007E-2"/>
    <x v="4"/>
  </r>
  <r>
    <x v="121"/>
    <x v="121"/>
    <n v="0.40629999999999999"/>
    <n v="8.8000000000000005E-3"/>
    <n v="2.1700000000000001E-2"/>
    <n v="9.8100000000000007E-2"/>
    <n v="15746759"/>
    <n v="0.41531227639783297"/>
    <n v="0.37000273199162187"/>
    <n v="4.2866666666666664E-2"/>
    <x v="2"/>
  </r>
  <r>
    <x v="122"/>
    <x v="122"/>
    <n v="4.0399999999999998E-2"/>
    <n v="1.9199999999999998E-2"/>
    <n v="3.0499999999999999E-2"/>
    <n v="0.1678"/>
    <n v="15689424"/>
    <n v="4.1670964414646725E-2"/>
    <n v="3.4594964891248504E-2"/>
    <n v="7.2499999999999995E-2"/>
    <x v="4"/>
  </r>
  <r>
    <x v="123"/>
    <x v="123"/>
    <n v="4.0399999999999998E-2"/>
    <n v="2.1299999999999999E-2"/>
    <n v="1.2500000000000001E-2"/>
    <n v="0.246"/>
    <n v="15653272"/>
    <n v="4.0911392405063286E-2"/>
    <n v="3.2423756019261639E-2"/>
    <n v="9.3266666666666664E-2"/>
    <x v="4"/>
  </r>
  <r>
    <x v="124"/>
    <x v="124"/>
    <n v="1.28"/>
    <n v="2.1499999999999998E-2"/>
    <n v="6.25E-2"/>
    <n v="0.2487"/>
    <n v="15652298"/>
    <n v="1.3653333333333333"/>
    <n v="1.0250660687114601"/>
    <n v="0.1109"/>
    <x v="1"/>
  </r>
  <r>
    <x v="125"/>
    <x v="125"/>
    <n v="5.0000000000000001E-4"/>
    <n v="1E-4"/>
    <n v="9.4999999999999998E-3"/>
    <n v="0.1807"/>
    <n v="15577742"/>
    <n v="5.0479555779909136E-4"/>
    <n v="4.2347759803506392E-4"/>
    <n v="6.3433333333333328E-2"/>
    <x v="4"/>
  </r>
  <r>
    <x v="126"/>
    <x v="126"/>
    <n v="8.9999999999999998E-4"/>
    <n v="6.7000000000000002E-3"/>
    <n v="3.1399999999999997E-2"/>
    <n v="1.5100000000000001E-2"/>
    <n v="15481106"/>
    <n v="9.2917613049762538E-4"/>
    <n v="8.8661215643778943E-4"/>
    <n v="1.7733333333333334E-2"/>
    <x v="4"/>
  </r>
  <r>
    <x v="127"/>
    <x v="127"/>
    <n v="1.54E-2"/>
    <n v="1.26E-2"/>
    <n v="4.0899999999999999E-2"/>
    <n v="0.12759999999999999"/>
    <n v="15426293"/>
    <n v="1.6056719841518092E-2"/>
    <n v="1.3657325292656971E-2"/>
    <n v="6.0366666666666659E-2"/>
    <x v="4"/>
  </r>
  <r>
    <x v="128"/>
    <x v="128"/>
    <n v="4.88"/>
    <n v="2.3099999999999999E-2"/>
    <n v="2.3099999999999999E-2"/>
    <n v="0.18260000000000001"/>
    <n v="15314524"/>
    <n v="4.9953935919746133"/>
    <n v="4.126500930153898"/>
    <n v="7.6266666666666663E-2"/>
    <x v="1"/>
  </r>
  <r>
    <x v="129"/>
    <x v="129"/>
    <n v="6.6E-3"/>
    <n v="4.4999999999999997E-3"/>
    <n v="7.1000000000000004E-3"/>
    <n v="0.1057"/>
    <n v="15294077"/>
    <n v="6.6471950851042403E-3"/>
    <n v="5.9690693678212904E-3"/>
    <n v="3.9100000000000003E-2"/>
    <x v="4"/>
  </r>
  <r>
    <x v="130"/>
    <x v="130"/>
    <n v="0.1026"/>
    <n v="2.23E-2"/>
    <n v="2.3099999999999999E-2"/>
    <n v="0.1666"/>
    <n v="15237190"/>
    <n v="0.10502610297881051"/>
    <n v="8.7947882736156349E-2"/>
    <n v="7.0666666666666669E-2"/>
    <x v="2"/>
  </r>
  <r>
    <x v="131"/>
    <x v="131"/>
    <n v="6.3E-2"/>
    <n v="4.1000000000000003E-3"/>
    <n v="1.6E-2"/>
    <n v="0.1012"/>
    <n v="15218667"/>
    <n v="6.402439024390244E-2"/>
    <n v="5.7210316018888485E-2"/>
    <n v="4.0433333333333328E-2"/>
    <x v="2"/>
  </r>
  <r>
    <x v="132"/>
    <x v="132"/>
    <n v="5.04E-2"/>
    <n v="1.7500000000000002E-2"/>
    <n v="1.44E-2"/>
    <n v="0.20100000000000001"/>
    <n v="15172684"/>
    <n v="5.1136363636363633E-2"/>
    <n v="4.1965029142381344E-2"/>
    <n v="7.7633333333333332E-2"/>
    <x v="2"/>
  </r>
  <r>
    <x v="133"/>
    <x v="133"/>
    <n v="6.8999999999999999E-3"/>
    <n v="5.0000000000000001E-4"/>
    <n v="8.4699999999999998E-2"/>
    <n v="0.23230000000000001"/>
    <n v="15104565"/>
    <n v="7.5385119632907244E-3"/>
    <n v="5.5992858881765807E-3"/>
    <n v="0.10583333333333333"/>
    <x v="4"/>
  </r>
  <r>
    <x v="134"/>
    <x v="134"/>
    <n v="0.126"/>
    <n v="1.12E-2"/>
    <n v="1.5E-3"/>
    <n v="0.24129999999999999"/>
    <n v="15086774"/>
    <n v="0.12618928392588882"/>
    <n v="0.10150648513655039"/>
    <n v="8.4666666666666668E-2"/>
    <x v="2"/>
  </r>
  <r>
    <x v="135"/>
    <x v="135"/>
    <n v="2.5700000000000001E-2"/>
    <n v="1.7899999999999999E-2"/>
    <n v="3.0200000000000001E-2"/>
    <n v="0.19819999999999999"/>
    <n v="11892010"/>
    <n v="2.6500309342132398E-2"/>
    <n v="2.1448839926556502E-2"/>
    <n v="8.2099999999999992E-2"/>
    <x v="4"/>
  </r>
  <r>
    <x v="136"/>
    <x v="136"/>
    <n v="5.2699999999999997E-2"/>
    <n v="1.89E-2"/>
    <n v="1.3899999999999999E-2"/>
    <n v="0.10589999999999999"/>
    <n v="11874415"/>
    <n v="5.3442855694148667E-2"/>
    <n v="4.7653494891038962E-2"/>
    <n v="4.6233333333333328E-2"/>
    <x v="2"/>
  </r>
  <r>
    <x v="137"/>
    <x v="137"/>
    <n v="0.44219999999999998"/>
    <n v="2.6700000000000002E-2"/>
    <n v="0.21540000000000001"/>
    <n v="5.79E-2"/>
    <n v="11854701"/>
    <n v="0.56359928626051492"/>
    <n v="0.41799792040835615"/>
    <n v="9.9999999999999992E-2"/>
    <x v="2"/>
  </r>
  <r>
    <x v="138"/>
    <x v="138"/>
    <n v="1.78E-2"/>
    <n v="1.23E-2"/>
    <n v="1.1299999999999999E-2"/>
    <n v="0.16889999999999999"/>
    <n v="11834225"/>
    <n v="1.800343885910792E-2"/>
    <n v="1.5227992129352382E-2"/>
    <n v="6.4166666666666664E-2"/>
    <x v="4"/>
  </r>
  <r>
    <x v="139"/>
    <x v="139"/>
    <n v="5.16E-2"/>
    <n v="1.7000000000000001E-2"/>
    <n v="2.6599999999999999E-2"/>
    <n v="0.18770000000000001"/>
    <n v="11823511"/>
    <n v="5.3010067803575096E-2"/>
    <n v="4.3445314473351856E-2"/>
    <n v="7.7100000000000002E-2"/>
    <x v="2"/>
  </r>
  <r>
    <x v="140"/>
    <x v="140"/>
    <n v="6.3200000000000006E-2"/>
    <n v="0"/>
    <n v="0"/>
    <n v="0"/>
    <n v="11788280"/>
    <n v="6.3200000000000006E-2"/>
    <n v="6.3200000000000006E-2"/>
    <n v="0"/>
    <x v="2"/>
  </r>
  <r>
    <x v="141"/>
    <x v="141"/>
    <n v="1.18E-2"/>
    <n v="7.4999999999999997E-3"/>
    <n v="7.5399999999999995E-2"/>
    <n v="3.15E-2"/>
    <n v="11782099"/>
    <n v="1.2762275578628596E-2"/>
    <n v="1.1439650993698496E-2"/>
    <n v="3.8133333333333332E-2"/>
    <x v="4"/>
  </r>
  <r>
    <x v="142"/>
    <x v="142"/>
    <n v="1.18E-2"/>
    <n v="8.9999999999999993E-3"/>
    <n v="1.3299999999999999E-2"/>
    <n v="0.1188"/>
    <n v="11771601"/>
    <n v="1.1959055437316306E-2"/>
    <n v="1.0547014658562745E-2"/>
    <n v="4.7033333333333337E-2"/>
    <x v="4"/>
  </r>
  <r>
    <x v="143"/>
    <x v="143"/>
    <n v="1.21E-2"/>
    <n v="3.9300000000000002E-2"/>
    <n v="6.4299999999999996E-2"/>
    <n v="0.1368"/>
    <n v="11752875"/>
    <n v="1.2931495137330341E-2"/>
    <n v="1.0643912737508796E-2"/>
    <n v="8.0133333333333334E-2"/>
    <x v="4"/>
  </r>
  <r>
    <x v="144"/>
    <x v="144"/>
    <n v="8.3199999999999996E-2"/>
    <n v="8.0999999999999996E-3"/>
    <n v="4.4000000000000003E-3"/>
    <n v="0.18690000000000001"/>
    <n v="11717795"/>
    <n v="8.3567697870630772E-2"/>
    <n v="7.0098576122672507E-2"/>
    <n v="6.6466666666666674E-2"/>
    <x v="2"/>
  </r>
  <r>
    <x v="145"/>
    <x v="145"/>
    <n v="125.92"/>
    <n v="8.2000000000000007E-3"/>
    <n v="1.3599999999999999E-2"/>
    <n v="0.18410000000000001"/>
    <n v="11706980"/>
    <n v="127.65612327656123"/>
    <n v="106.34236973228613"/>
    <n v="6.8633333333333338E-2"/>
    <x v="0"/>
  </r>
  <r>
    <x v="146"/>
    <x v="146"/>
    <n v="5.8400000000000001E-2"/>
    <n v="1.7999999999999999E-2"/>
    <n v="1.77E-2"/>
    <n v="0.28449999999999998"/>
    <n v="11687721"/>
    <n v="5.9452305812888122E-2"/>
    <n v="4.5465161541455822E-2"/>
    <n v="0.10673333333333333"/>
    <x v="2"/>
  </r>
  <r>
    <x v="147"/>
    <x v="147"/>
    <n v="416.96"/>
    <n v="3.7000000000000002E-3"/>
    <n v="2.0000000000000001E-4"/>
    <n v="0.1114"/>
    <n v="11669080"/>
    <n v="417.04340868173631"/>
    <n v="375.16645672125247"/>
    <n v="3.8433333333333333E-2"/>
    <x v="0"/>
  </r>
  <r>
    <x v="148"/>
    <x v="148"/>
    <n v="4.5600000000000002E-2"/>
    <n v="1.49E-2"/>
    <n v="6.3E-3"/>
    <n v="0.25209999999999999"/>
    <n v="11649565"/>
    <n v="4.5889101338432124E-2"/>
    <n v="3.6418816388467376E-2"/>
    <n v="9.11E-2"/>
    <x v="4"/>
  </r>
  <r>
    <x v="149"/>
    <x v="149"/>
    <n v="429.27"/>
    <n v="7.0000000000000001E-3"/>
    <n v="3.5099999999999999E-2"/>
    <n v="6.9999999999999999E-4"/>
    <n v="11571618"/>
    <n v="444.88548036065913"/>
    <n v="428.9697211951634"/>
    <n v="1.4266666666666665E-2"/>
    <x v="0"/>
  </r>
  <r>
    <x v="150"/>
    <x v="150"/>
    <n v="8.8999999999999999E-3"/>
    <n v="1.17E-2"/>
    <n v="1.1299999999999999E-2"/>
    <n v="5.3E-3"/>
    <n v="8946341"/>
    <n v="9.0017194295539602E-3"/>
    <n v="8.853078682980204E-3"/>
    <n v="9.4333333333333335E-3"/>
    <x v="4"/>
  </r>
  <r>
    <x v="151"/>
    <x v="151"/>
    <n v="0.39589999999999997"/>
    <n v="6.4000000000000003E-3"/>
    <n v="5.4100000000000002E-2"/>
    <n v="0.15459999999999999"/>
    <n v="8928387"/>
    <n v="0.41854318638333859"/>
    <n v="0.34288931231595354"/>
    <n v="7.17E-2"/>
    <x v="2"/>
  </r>
  <r>
    <x v="152"/>
    <x v="152"/>
    <n v="4.9500000000000002E-2"/>
    <n v="1.9400000000000001E-2"/>
    <n v="1.2699999999999999E-2"/>
    <n v="0.22670000000000001"/>
    <n v="8896335"/>
    <n v="5.0136736554238837E-2"/>
    <n v="4.0352164343360232E-2"/>
    <n v="8.6266666666666672E-2"/>
    <x v="4"/>
  </r>
  <r>
    <x v="153"/>
    <x v="153"/>
    <n v="1.6199999999999999E-2"/>
    <n v="1.67E-2"/>
    <n v="1.6299999999999999E-2"/>
    <n v="0.16600000000000001"/>
    <n v="8774754"/>
    <n v="1.6468435498627629E-2"/>
    <n v="1.3893653516295026E-2"/>
    <n v="6.6333333333333341E-2"/>
    <x v="4"/>
  </r>
  <r>
    <x v="154"/>
    <x v="154"/>
    <n v="3.46"/>
    <n v="2.8E-3"/>
    <n v="4.4000000000000003E-3"/>
    <n v="0.182"/>
    <n v="8740272"/>
    <n v="3.4752912816392123"/>
    <n v="2.927241962774958"/>
    <n v="6.3066666666666674E-2"/>
    <x v="1"/>
  </r>
  <r>
    <x v="155"/>
    <x v="155"/>
    <n v="0.1928"/>
    <n v="2.35E-2"/>
    <n v="3.2000000000000002E-3"/>
    <n v="0.20469999999999999"/>
    <n v="8724871"/>
    <n v="0.19341894060995185"/>
    <n v="0.16003984394455054"/>
    <n v="7.7133333333333332E-2"/>
    <x v="2"/>
  </r>
  <r>
    <x v="156"/>
    <x v="156"/>
    <n v="8.6999999999999994E-3"/>
    <n v="6.4000000000000003E-3"/>
    <n v="2.2200000000000001E-2"/>
    <n v="6.9400000000000003E-2"/>
    <n v="8663896"/>
    <n v="8.8975250562487208E-3"/>
    <n v="8.1354030297363013E-3"/>
    <n v="3.266666666666667E-2"/>
    <x v="4"/>
  </r>
  <r>
    <x v="157"/>
    <x v="157"/>
    <n v="3.7000000000000002E-3"/>
    <n v="2.2800000000000001E-2"/>
    <n v="2.0799999999999999E-2"/>
    <n v="0.18890000000000001"/>
    <n v="8695083"/>
    <n v="3.7785947712418305E-3"/>
    <n v="3.1121204474724535E-3"/>
    <n v="7.7499999999999999E-2"/>
    <x v="4"/>
  </r>
  <r>
    <x v="158"/>
    <x v="158"/>
    <n v="1.23E-2"/>
    <n v="2.0000000000000001E-4"/>
    <n v="4.2099999999999999E-2"/>
    <n v="0.15040000000000001"/>
    <n v="8671043"/>
    <n v="1.2840588787973693E-2"/>
    <n v="1.069193324061196E-2"/>
    <n v="6.4233333333333337E-2"/>
    <x v="4"/>
  </r>
  <r>
    <x v="159"/>
    <x v="159"/>
    <n v="1.29E-2"/>
    <n v="1.78E-2"/>
    <n v="1.24E-2"/>
    <n v="0.19239999999999999"/>
    <n v="8661672"/>
    <n v="1.3061968408262454E-2"/>
    <n v="1.0818517276081853E-2"/>
    <n v="7.4200000000000002E-2"/>
    <x v="4"/>
  </r>
  <r>
    <x v="160"/>
    <x v="160"/>
    <n v="1.89E-2"/>
    <n v="1.24E-2"/>
    <n v="6.6E-3"/>
    <n v="0.16189999999999999"/>
    <n v="8617378"/>
    <n v="1.9025568753774917E-2"/>
    <n v="1.6266460108443067E-2"/>
    <n v="6.0299999999999992E-2"/>
    <x v="4"/>
  </r>
  <r>
    <x v="161"/>
    <x v="161"/>
    <n v="5.8400000000000001E-2"/>
    <n v="2.9100000000000001E-2"/>
    <n v="2.24E-2"/>
    <n v="3.9800000000000002E-2"/>
    <n v="8634413"/>
    <n v="5.9738134206219311E-2"/>
    <n v="5.6164647047509134E-2"/>
    <n v="3.0433333333333337E-2"/>
    <x v="2"/>
  </r>
  <r>
    <x v="162"/>
    <x v="162"/>
    <n v="1.0500000000000001E-2"/>
    <n v="2.75E-2"/>
    <n v="2.69E-2"/>
    <n v="0.12330000000000001"/>
    <n v="8610074"/>
    <n v="1.0790257938546913E-2"/>
    <n v="9.3474583815543501E-3"/>
    <n v="5.9233333333333339E-2"/>
    <x v="4"/>
  </r>
  <r>
    <x v="163"/>
    <x v="163"/>
    <n v="5.0599999999999999E-2"/>
    <n v="1.83E-2"/>
    <n v="1.8800000000000001E-2"/>
    <n v="5.0500000000000003E-2"/>
    <n v="8590670"/>
    <n v="5.1569506726457402E-2"/>
    <n v="4.8167539267015703E-2"/>
    <n v="2.9200000000000004E-2"/>
    <x v="2"/>
  </r>
  <r>
    <x v="164"/>
    <x v="164"/>
    <n v="7.0000000000000001E-3"/>
    <n v="6.4000000000000003E-3"/>
    <n v="6.7699999999999996E-2"/>
    <n v="0.20469999999999999"/>
    <n v="8565112"/>
    <n v="7.508312774857878E-3"/>
    <n v="5.8105752469494489E-3"/>
    <n v="9.2933333333333326E-2"/>
    <x v="4"/>
  </r>
  <r>
    <x v="165"/>
    <x v="165"/>
    <n v="7.7499999999999999E-2"/>
    <n v="1.44E-2"/>
    <n v="2.8400000000000002E-2"/>
    <n v="0.2152"/>
    <n v="6780269"/>
    <n v="7.9765335529024289E-2"/>
    <n v="6.3775510204081634E-2"/>
    <n v="8.6000000000000007E-2"/>
    <x v="2"/>
  </r>
  <r>
    <x v="166"/>
    <x v="166"/>
    <n v="0"/>
    <n v="7.1000000000000004E-3"/>
    <n v="2.07E-2"/>
    <n v="7.22E-2"/>
    <n v="6759626"/>
    <n v="0"/>
    <n v="0"/>
    <n v="3.3333333333333333E-2"/>
    <x v="4"/>
  </r>
  <r>
    <x v="167"/>
    <x v="167"/>
    <n v="6.3E-2"/>
    <n v="4.0000000000000002E-4"/>
    <n v="1.83E-2"/>
    <n v="0.1772"/>
    <n v="6748376"/>
    <n v="6.4174391361923197E-2"/>
    <n v="5.3516819571865444E-2"/>
    <n v="6.5299999999999997E-2"/>
    <x v="2"/>
  </r>
  <r>
    <x v="168"/>
    <x v="168"/>
    <n v="6.7299999999999999E-2"/>
    <n v="2.8899999999999999E-2"/>
    <n v="4.4200000000000003E-2"/>
    <n v="0.2374"/>
    <n v="6727308"/>
    <n v="7.0412220129734249E-2"/>
    <n v="5.4388233392597379E-2"/>
    <n v="0.10349999999999999"/>
    <x v="2"/>
  </r>
  <r>
    <x v="169"/>
    <x v="169"/>
    <n v="7.1000000000000004E-3"/>
    <n v="7.7000000000000002E-3"/>
    <n v="8.9999999999999993E-3"/>
    <n v="0.30009999999999998"/>
    <n v="6715820"/>
    <n v="7.1644803229061558E-3"/>
    <n v="5.4611183755095766E-3"/>
    <n v="0.10559999999999999"/>
    <x v="4"/>
  </r>
  <r>
    <x v="170"/>
    <x v="170"/>
    <n v="8.7899999999999991"/>
    <n v="2.3999999999999998E-3"/>
    <n v="1.34E-2"/>
    <n v="0.11509999999999999"/>
    <n v="6704803"/>
    <n v="8.9093857693087362"/>
    <n v="7.8827011030400858"/>
    <n v="4.363333333333333E-2"/>
    <x v="3"/>
  </r>
  <r>
    <x v="171"/>
    <x v="171"/>
    <n v="4.0000000000000002E-4"/>
    <n v="2.9999999999999997E-4"/>
    <n v="3.7900000000000003E-2"/>
    <n v="0.20799999999999999"/>
    <n v="6633943"/>
    <n v="4.1575719779648687E-4"/>
    <n v="3.3112582781456954E-4"/>
    <n v="8.2066666666666663E-2"/>
    <x v="4"/>
  </r>
  <r>
    <x v="172"/>
    <x v="172"/>
    <n v="8.9999999999999998E-4"/>
    <n v="5.1999999999999998E-3"/>
    <n v="1.9699999999999999E-2"/>
    <n v="5.2600000000000001E-2"/>
    <n v="6660721"/>
    <n v="9.1808630011221061E-4"/>
    <n v="8.5502565076952305E-4"/>
    <n v="2.5833333333333333E-2"/>
    <x v="4"/>
  </r>
  <r>
    <x v="173"/>
    <x v="173"/>
    <n v="1.1000000000000001E-3"/>
    <n v="1.32E-2"/>
    <n v="4.02E-2"/>
    <n v="0.1991"/>
    <n v="6638670"/>
    <n v="1.1460720983538237E-3"/>
    <n v="9.1735468267867563E-4"/>
    <n v="8.4166666666666667E-2"/>
    <x v="4"/>
  </r>
  <r>
    <x v="174"/>
    <x v="174"/>
    <n v="0.36930000000000002"/>
    <n v="8.8999999999999999E-3"/>
    <n v="8.6699999999999999E-2"/>
    <n v="9.3799999999999994E-2"/>
    <n v="6593671"/>
    <n v="0.40435782327822184"/>
    <n v="0.33763027975863968"/>
    <n v="6.3133333333333333E-2"/>
    <x v="2"/>
  </r>
  <r>
    <x v="175"/>
    <x v="175"/>
    <n v="7.1000000000000004E-3"/>
    <n v="1.1000000000000001E-3"/>
    <n v="1.46E-2"/>
    <n v="0.11940000000000001"/>
    <n v="6583983"/>
    <n v="7.2051958595494214E-3"/>
    <n v="6.3426835804895488E-3"/>
    <n v="4.5033333333333335E-2"/>
    <x v="4"/>
  </r>
  <r>
    <x v="176"/>
    <x v="176"/>
    <n v="2.6599999999999999E-2"/>
    <n v="1.37E-2"/>
    <n v="8.5000000000000006E-3"/>
    <n v="0.1201"/>
    <n v="6577012"/>
    <n v="2.6828038325769035E-2"/>
    <n v="2.3747879653602352E-2"/>
    <n v="4.7433333333333334E-2"/>
    <x v="4"/>
  </r>
  <r>
    <x v="177"/>
    <x v="177"/>
    <n v="3.4599999999999999E-2"/>
    <n v="1.6400000000000001E-2"/>
    <n v="2.4E-2"/>
    <n v="0.1933"/>
    <n v="6569910"/>
    <n v="3.5450819672131144E-2"/>
    <n v="2.8995223330260621E-2"/>
    <n v="7.7900000000000011E-2"/>
    <x v="4"/>
  </r>
  <r>
    <x v="178"/>
    <x v="178"/>
    <n v="6.7000000000000002E-3"/>
    <n v="1.5299999999999999E-2"/>
    <n v="9.06E-2"/>
    <n v="0.1019"/>
    <n v="6562250"/>
    <n v="7.3674950516824282E-3"/>
    <n v="6.0804065704691893E-3"/>
    <n v="6.9266666666666657E-2"/>
    <x v="4"/>
  </r>
  <r>
    <x v="179"/>
    <x v="179"/>
    <n v="2.9999999999999997E-4"/>
    <n v="6.8999999999999999E-3"/>
    <n v="5.0000000000000001E-3"/>
    <n v="0.17530000000000001"/>
    <n v="6545173"/>
    <n v="3.0150753768844218E-4"/>
    <n v="2.5525397770781926E-4"/>
    <n v="6.2400000000000004E-2"/>
    <x v="4"/>
  </r>
  <r>
    <x v="180"/>
    <x v="180"/>
    <n v="1.5599999999999999E-2"/>
    <n v="6.9999999999999999E-4"/>
    <n v="1.0500000000000001E-2"/>
    <n v="3.2099999999999997E-2"/>
    <n v="5244745"/>
    <n v="1.5765538150581099E-2"/>
    <n v="1.5114814455963568E-2"/>
    <n v="1.4433333333333333E-2"/>
    <x v="4"/>
  </r>
  <r>
    <x v="181"/>
    <x v="181"/>
    <n v="0.13139999999999999"/>
    <n v="5.0000000000000001E-4"/>
    <n v="2.5000000000000001E-3"/>
    <n v="7.0699999999999999E-2"/>
    <n v="5243911"/>
    <n v="0.13172932330827067"/>
    <n v="0.12272345194732417"/>
    <n v="2.4566666666666667E-2"/>
    <x v="2"/>
  </r>
  <r>
    <x v="182"/>
    <x v="182"/>
    <n v="75.55"/>
    <n v="1.8499999999999999E-2"/>
    <n v="4.5499999999999999E-2"/>
    <n v="0.1157"/>
    <n v="5224340"/>
    <n v="79.151388161341018"/>
    <n v="67.715335663708885"/>
    <n v="5.9900000000000002E-2"/>
    <x v="0"/>
  </r>
  <r>
    <x v="183"/>
    <x v="183"/>
    <n v="6.3E-3"/>
    <n v="1.4E-3"/>
    <n v="3.8999999999999998E-3"/>
    <n v="0.1046"/>
    <n v="5210287"/>
    <n v="6.3246661981728744E-3"/>
    <n v="5.7034220532319393E-3"/>
    <n v="3.663333333333333E-2"/>
    <x v="4"/>
  </r>
  <r>
    <x v="184"/>
    <x v="184"/>
    <n v="1.77E-2"/>
    <n v="1.1000000000000001E-3"/>
    <n v="9.1000000000000004E-3"/>
    <n v="8.0999999999999996E-3"/>
    <n v="5199183"/>
    <n v="1.786254919769906E-2"/>
    <n v="1.7557781966074795E-2"/>
    <n v="6.1000000000000004E-3"/>
    <x v="4"/>
  </r>
  <r>
    <x v="185"/>
    <x v="185"/>
    <n v="210.36"/>
    <n v="3.8E-3"/>
    <n v="8.6E-3"/>
    <n v="1.9900000000000001E-2"/>
    <n v="5190430"/>
    <n v="212.18478918700831"/>
    <n v="206.25551524659281"/>
    <n v="1.0766666666666667E-2"/>
    <x v="0"/>
  </r>
  <r>
    <x v="186"/>
    <x v="186"/>
    <n v="0.04"/>
    <n v="5.9999999999999995E-4"/>
    <n v="5.9999999999999995E-4"/>
    <n v="0.1028"/>
    <n v="5185318"/>
    <n v="4.0024014408645191E-2"/>
    <n v="3.6271309394269133E-2"/>
    <n v="3.4666666666666672E-2"/>
    <x v="4"/>
  </r>
  <r>
    <x v="187"/>
    <x v="187"/>
    <n v="1.58"/>
    <n v="6.4000000000000003E-3"/>
    <n v="8.9899999999999994E-2"/>
    <n v="0.1651"/>
    <n v="5177239"/>
    <n v="1.7360729590154929"/>
    <n v="1.3561067719509055"/>
    <n v="8.7133333333333327E-2"/>
    <x v="1"/>
  </r>
  <r>
    <x v="188"/>
    <x v="188"/>
    <n v="1.8E-3"/>
    <n v="1.01E-2"/>
    <n v="5.0000000000000001E-4"/>
    <n v="0.31819999999999998"/>
    <n v="5174088"/>
    <n v="1.8009004502251124E-3"/>
    <n v="1.3654984069185253E-3"/>
    <n v="0.10959999999999999"/>
    <x v="4"/>
  </r>
  <r>
    <x v="189"/>
    <x v="189"/>
    <n v="3.5999999999999999E-3"/>
    <n v="1E-4"/>
    <n v="1.35E-2"/>
    <n v="1.11E-2"/>
    <n v="5171927"/>
    <n v="3.6492650785605674E-3"/>
    <n v="3.5604786865789731E-3"/>
    <n v="8.2333333333333338E-3"/>
    <x v="4"/>
  </r>
  <r>
    <x v="190"/>
    <x v="190"/>
    <n v="1.14E-2"/>
    <n v="2.0000000000000001E-4"/>
    <n v="1.6199999999999999E-2"/>
    <n v="9.5500000000000002E-2"/>
    <n v="5153979"/>
    <n v="1.1587721081520634E-2"/>
    <n v="1.0406207211319034E-2"/>
    <n v="3.73E-2"/>
    <x v="4"/>
  </r>
  <r>
    <x v="191"/>
    <x v="191"/>
    <n v="1.6999999999999999E-3"/>
    <n v="0"/>
    <n v="3.7000000000000002E-3"/>
    <n v="0.3387"/>
    <n v="5139233"/>
    <n v="1.7063133594298905E-3"/>
    <n v="1.2698886979905879E-3"/>
    <n v="0.11413333333333332"/>
    <x v="4"/>
  </r>
  <r>
    <x v="192"/>
    <x v="192"/>
    <n v="5.5100000000000003E-2"/>
    <n v="6.6E-3"/>
    <n v="4.4200000000000003E-2"/>
    <n v="0.18379999999999999"/>
    <n v="5134806"/>
    <n v="5.7648043523749741E-2"/>
    <n v="4.6545024497381321E-2"/>
    <n v="7.8200000000000006E-2"/>
    <x v="2"/>
  </r>
  <r>
    <x v="193"/>
    <x v="193"/>
    <n v="5.1000000000000004E-3"/>
    <n v="2.93E-2"/>
    <n v="2.5399999999999999E-2"/>
    <n v="0.1857"/>
    <n v="5110161"/>
    <n v="5.2329160681305158E-3"/>
    <n v="4.3012566416462854E-3"/>
    <n v="8.0133333333333334E-2"/>
    <x v="4"/>
  </r>
  <r>
    <x v="194"/>
    <x v="194"/>
    <n v="6.9999999999999999E-4"/>
    <n v="1.35E-2"/>
    <n v="5.3E-3"/>
    <n v="0.3523"/>
    <n v="5111668"/>
    <n v="7.0372976776917663E-4"/>
    <n v="5.1763661909339637E-4"/>
    <n v="0.12369999999999999"/>
    <x v="4"/>
  </r>
  <r>
    <x v="195"/>
    <x v="195"/>
    <n v="0.3286"/>
    <n v="9.4999999999999998E-3"/>
    <n v="3.7400000000000003E-2"/>
    <n v="0.10879999999999999"/>
    <n v="4103045"/>
    <n v="0.34136713068772073"/>
    <n v="0.29635642135642137"/>
    <n v="5.1900000000000002E-2"/>
    <x v="2"/>
  </r>
  <r>
    <x v="196"/>
    <x v="196"/>
    <n v="8.9999999999999998E-4"/>
    <n v="1E-4"/>
    <n v="1.24E-2"/>
    <n v="0.128"/>
    <n v="4097567"/>
    <n v="9.1130012150668284E-4"/>
    <n v="7.9787234042553177E-4"/>
    <n v="4.6833333333333338E-2"/>
    <x v="4"/>
  </r>
  <r>
    <x v="197"/>
    <x v="197"/>
    <n v="532.35"/>
    <n v="5.0000000000000001E-4"/>
    <n v="1.1999999999999999E-3"/>
    <n v="6.7000000000000002E-3"/>
    <n v="4096409"/>
    <n v="532.98958750500606"/>
    <n v="528.80699314592243"/>
    <n v="2.8E-3"/>
    <x v="0"/>
  </r>
  <r>
    <x v="198"/>
    <x v="198"/>
    <n v="2.0400000000000001E-2"/>
    <n v="1E-4"/>
    <n v="4.0000000000000002E-4"/>
    <n v="5.0000000000000001E-4"/>
    <n v="4083796"/>
    <n v="2.0408163265306124E-2"/>
    <n v="2.0389805097451277E-2"/>
    <n v="3.3333333333333332E-4"/>
    <x v="4"/>
  </r>
  <r>
    <x v="199"/>
    <x v="199"/>
    <n v="4.1000000000000003E-3"/>
    <n v="5.8999999999999999E-3"/>
    <n v="6.0000000000000001E-3"/>
    <n v="1.7899999999999999E-2"/>
    <n v="4071885"/>
    <n v="4.124748490945674E-3"/>
    <n v="4.0279005796247181E-3"/>
    <n v="9.9333333333333339E-3"/>
    <x v="4"/>
  </r>
  <r>
    <x v="200"/>
    <x v="200"/>
    <n v="0.41499999999999998"/>
    <n v="0"/>
    <n v="4.87E-2"/>
    <n v="0.12570000000000001"/>
    <n v="4068481"/>
    <n v="0.43624513823189315"/>
    <n v="0.36865950075508575"/>
    <n v="5.8133333333333335E-2"/>
    <x v="2"/>
  </r>
  <r>
    <x v="201"/>
    <x v="201"/>
    <n v="7.7000000000000002E-3"/>
    <n v="2.9999999999999997E-4"/>
    <n v="2.2599999999999999E-2"/>
    <n v="3.0499999999999999E-2"/>
    <n v="4061035"/>
    <n v="7.8780437896459991E-3"/>
    <n v="7.4721009218825813E-3"/>
    <n v="1.78E-2"/>
    <x v="4"/>
  </r>
  <r>
    <x v="202"/>
    <x v="202"/>
    <n v="0.18160000000000001"/>
    <n v="3.0000000000000001E-3"/>
    <n v="1.2999999999999999E-3"/>
    <n v="0.22650000000000001"/>
    <n v="4060065"/>
    <n v="0.18183638730349455"/>
    <n v="0.1480635955972279"/>
    <n v="7.693333333333334E-2"/>
    <x v="2"/>
  </r>
  <r>
    <x v="203"/>
    <x v="203"/>
    <n v="5.9700000000000003E-2"/>
    <n v="1.44E-2"/>
    <n v="4.1999999999999997E-3"/>
    <n v="0.1358"/>
    <n v="4028261"/>
    <n v="5.995179754970878E-2"/>
    <n v="5.2562070787110414E-2"/>
    <n v="5.1466666666666668E-2"/>
    <x v="2"/>
  </r>
  <r>
    <x v="204"/>
    <x v="204"/>
    <n v="0"/>
    <n v="2.8999999999999998E-3"/>
    <n v="8.6999999999999994E-3"/>
    <n v="7.1400000000000005E-2"/>
    <n v="4026637"/>
    <n v="0"/>
    <n v="0"/>
    <n v="2.7666666666666669E-2"/>
    <x v="4"/>
  </r>
  <r>
    <x v="205"/>
    <x v="205"/>
    <n v="0.28149999999999997"/>
    <n v="3.8300000000000001E-2"/>
    <n v="4.82E-2"/>
    <n v="0.13170000000000001"/>
    <n v="4017244"/>
    <n v="0.29575541080058831"/>
    <n v="0.24874083237607139"/>
    <n v="7.273333333333333E-2"/>
    <x v="2"/>
  </r>
  <r>
    <x v="206"/>
    <x v="206"/>
    <n v="8.9999999999999998E-4"/>
    <n v="5.3E-3"/>
    <n v="7.4099999999999999E-2"/>
    <n v="2.0400000000000001E-2"/>
    <n v="4010509"/>
    <n v="9.7202721676206932E-4"/>
    <n v="8.8200705605644841E-4"/>
    <n v="3.3266666666666667E-2"/>
    <x v="4"/>
  </r>
  <r>
    <x v="207"/>
    <x v="207"/>
    <n v="8.5000000000000006E-3"/>
    <n v="1.8E-3"/>
    <n v="1.8599999999999998E-2"/>
    <n v="0.1024"/>
    <n v="3984716"/>
    <n v="8.6610963929080898E-3"/>
    <n v="7.7104499274310593E-3"/>
    <n v="4.0933333333333335E-2"/>
    <x v="4"/>
  </r>
  <r>
    <x v="208"/>
    <x v="208"/>
    <n v="4.4999999999999997E-3"/>
    <n v="2.5999999999999999E-3"/>
    <n v="7.9000000000000008E-3"/>
    <n v="7.1999999999999995E-2"/>
    <n v="3982230"/>
    <n v="4.5358330813426067E-3"/>
    <n v="4.1977611940298499E-3"/>
    <n v="2.7499999999999997E-2"/>
    <x v="4"/>
  </r>
  <r>
    <x v="209"/>
    <x v="209"/>
    <n v="4.0800000000000003E-2"/>
    <n v="2.9000000000000001E-2"/>
    <n v="0.13600000000000001"/>
    <n v="0.1588"/>
    <n v="3977798"/>
    <n v="4.7222222222222228E-2"/>
    <n v="3.5208836727649295E-2"/>
    <n v="0.10793333333333333"/>
    <x v="4"/>
  </r>
  <r>
    <x v="210"/>
    <x v="210"/>
    <n v="1.2699999999999999E-2"/>
    <n v="6.6E-3"/>
    <n v="3.0000000000000001E-3"/>
    <n v="0.20080000000000001"/>
    <n v="3146028"/>
    <n v="1.2738214643931794E-2"/>
    <n v="1.0576282478347767E-2"/>
    <n v="7.0133333333333339E-2"/>
    <x v="4"/>
  </r>
  <r>
    <x v="211"/>
    <x v="211"/>
    <n v="5.1400000000000001E-2"/>
    <n v="4.8999999999999998E-3"/>
    <n v="6.0100000000000001E-2"/>
    <n v="1.1900000000000001E-2"/>
    <n v="3132765"/>
    <n v="5.4686668794552619E-2"/>
    <n v="5.0795533155450143E-2"/>
    <n v="2.5633333333333331E-2"/>
    <x v="2"/>
  </r>
  <r>
    <x v="212"/>
    <x v="212"/>
    <n v="123.65"/>
    <n v="5.1000000000000004E-3"/>
    <n v="7.7999999999999996E-3"/>
    <n v="1.9300000000000001E-2"/>
    <n v="3132466"/>
    <n v="124.62205200564404"/>
    <n v="121.30874129304424"/>
    <n v="1.0733333333333333E-2"/>
    <x v="0"/>
  </r>
  <r>
    <x v="213"/>
    <x v="213"/>
    <n v="8.3999999999999995E-3"/>
    <n v="0"/>
    <n v="3.15E-2"/>
    <n v="0.14319999999999999"/>
    <n v="3128601"/>
    <n v="8.6732059886422287E-3"/>
    <n v="7.3477956613016088E-3"/>
    <n v="5.8233333333333331E-2"/>
    <x v="4"/>
  </r>
  <r>
    <x v="214"/>
    <x v="214"/>
    <n v="0.18079999999999999"/>
    <n v="0"/>
    <n v="1.0200000000000001E-2"/>
    <n v="0.22040000000000001"/>
    <n v="3124990"/>
    <n v="0.18266316427561122"/>
    <n v="0.14814814814814814"/>
    <n v="7.686666666666668E-2"/>
    <x v="2"/>
  </r>
  <r>
    <x v="215"/>
    <x v="215"/>
    <n v="3.0999999999999999E-3"/>
    <n v="8.9999999999999998E-4"/>
    <n v="3.9199999999999999E-2"/>
    <n v="5.45E-2"/>
    <n v="3096016"/>
    <n v="3.2264779350541215E-3"/>
    <n v="2.9397818871503083E-3"/>
    <n v="3.153333333333333E-2"/>
    <x v="4"/>
  </r>
  <r>
    <x v="216"/>
    <x v="216"/>
    <n v="6.7000000000000002E-3"/>
    <n v="3.0000000000000001E-3"/>
    <n v="9.1000000000000004E-3"/>
    <n v="2.3599999999999999E-2"/>
    <n v="3095694"/>
    <n v="6.761529922292865E-3"/>
    <n v="6.5455255959359126E-3"/>
    <n v="1.1899999999999999E-2"/>
    <x v="4"/>
  </r>
  <r>
    <x v="217"/>
    <x v="217"/>
    <n v="3.2000000000000001E-2"/>
    <n v="4.7000000000000002E-3"/>
    <n v="9.1999999999999998E-3"/>
    <n v="6.8599999999999994E-2"/>
    <n v="3086074"/>
    <n v="3.2297133629390393E-2"/>
    <n v="2.9945723376380313E-2"/>
    <n v="2.7499999999999997E-2"/>
    <x v="4"/>
  </r>
  <r>
    <x v="218"/>
    <x v="218"/>
    <n v="2.29E-2"/>
    <n v="7.9000000000000008E-3"/>
    <n v="1.35E-2"/>
    <n v="0.55920000000000003"/>
    <n v="3075277"/>
    <n v="2.3213380638621387E-2"/>
    <n v="1.4687018984094406E-2"/>
    <n v="0.19353333333333333"/>
    <x v="4"/>
  </r>
  <r>
    <x v="219"/>
    <x v="219"/>
    <n v="1.6299999999999999E-2"/>
    <n v="4.8999999999999998E-3"/>
    <n v="2.9999999999999997E-4"/>
    <n v="0.19489999999999999"/>
    <n v="3069872"/>
    <n v="1.6304891467440231E-2"/>
    <n v="1.3641308896141935E-2"/>
    <n v="6.6699999999999995E-2"/>
    <x v="4"/>
  </r>
  <r>
    <x v="220"/>
    <x v="220"/>
    <n v="3.7000000000000002E-3"/>
    <n v="1.1299999999999999E-2"/>
    <n v="1.1599999999999999E-2"/>
    <n v="0.20380000000000001"/>
    <n v="3060731"/>
    <n v="3.7434237150951034E-3"/>
    <n v="3.0736002658248878E-3"/>
    <n v="7.5566666666666671E-2"/>
    <x v="4"/>
  </r>
  <r>
    <x v="221"/>
    <x v="221"/>
    <n v="5.0000000000000001E-4"/>
    <n v="7.1999999999999998E-3"/>
    <n v="2.0299999999999999E-2"/>
    <n v="0.14699999999999999"/>
    <n v="3058670"/>
    <n v="5.103603143819537E-4"/>
    <n v="4.3591979075850045E-4"/>
    <n v="5.8166666666666665E-2"/>
    <x v="4"/>
  </r>
  <r>
    <x v="222"/>
    <x v="222"/>
    <n v="2E-3"/>
    <n v="1.7399999999999999E-2"/>
    <n v="8.3000000000000004E-2"/>
    <n v="4.6399999999999997E-2"/>
    <n v="3034964"/>
    <n v="2.1810250817884407E-3"/>
    <n v="1.9113149847094801E-3"/>
    <n v="4.8933333333333329E-2"/>
    <x v="4"/>
  </r>
  <r>
    <x v="223"/>
    <x v="223"/>
    <n v="74.64"/>
    <n v="3.2000000000000002E-3"/>
    <n v="2E-3"/>
    <n v="5.7999999999999996E-3"/>
    <n v="3024286"/>
    <n v="74.789579158316627"/>
    <n v="74.209584410419566"/>
    <n v="3.6666666666666666E-3"/>
    <x v="0"/>
  </r>
  <r>
    <x v="224"/>
    <x v="224"/>
    <n v="3.8999999999999998E-3"/>
    <n v="1.2999999999999999E-3"/>
    <n v="1.2500000000000001E-2"/>
    <n v="5.1799999999999999E-2"/>
    <n v="3023152"/>
    <n v="3.9493670886075949E-3"/>
    <n v="3.7079292641186532E-3"/>
    <n v="2.1866666666666663E-2"/>
    <x v="4"/>
  </r>
  <r>
    <x v="225"/>
    <x v="225"/>
    <n v="2.8E-3"/>
    <n v="1E-4"/>
    <n v="1.2800000000000001E-2"/>
    <n v="2.3400000000000001E-2"/>
    <n v="2407683"/>
    <n v="2.8363047001620746E-3"/>
    <n v="2.7359781121751021E-3"/>
    <n v="1.21E-2"/>
    <x v="4"/>
  </r>
  <r>
    <x v="226"/>
    <x v="226"/>
    <n v="43.63"/>
    <n v="2E-3"/>
    <n v="1.4500000000000001E-2"/>
    <n v="6.9199999999999998E-2"/>
    <n v="2400785"/>
    <n v="44.271943176052766"/>
    <n v="40.806210250654701"/>
    <n v="2.8566666666666667E-2"/>
    <x v="3"/>
  </r>
  <r>
    <x v="227"/>
    <x v="227"/>
    <n v="1.5800000000000002E-2"/>
    <n v="1.8E-3"/>
    <n v="1.7600000000000001E-2"/>
    <n v="3.6200000000000003E-2"/>
    <n v="2390793"/>
    <n v="1.6083061889250815E-2"/>
    <n v="1.5248021617448371E-2"/>
    <n v="1.8533333333333336E-2"/>
    <x v="4"/>
  </r>
  <r>
    <x v="228"/>
    <x v="228"/>
    <n v="119.09"/>
    <n v="1.1999999999999999E-3"/>
    <n v="3.8E-3"/>
    <n v="2.4799999999999999E-2"/>
    <n v="2383398"/>
    <n v="119.54426821923309"/>
    <n v="116.20804059328651"/>
    <n v="9.9333333333333339E-3"/>
    <x v="0"/>
  </r>
  <r>
    <x v="229"/>
    <x v="229"/>
    <n v="2.3999999999999998E-3"/>
    <n v="1.03E-2"/>
    <n v="1.26E-2"/>
    <n v="0.15090000000000001"/>
    <n v="2371374"/>
    <n v="2.4306258861656873E-3"/>
    <n v="2.0853245286297679E-3"/>
    <n v="5.7933333333333337E-2"/>
    <x v="4"/>
  </r>
  <r>
    <x v="230"/>
    <x v="230"/>
    <n v="0.46410000000000001"/>
    <n v="2.1100000000000001E-2"/>
    <n v="2.3999999999999998E-3"/>
    <n v="8.2100000000000006E-2"/>
    <n v="2367611"/>
    <n v="0.46521651964715316"/>
    <n v="0.42888827280288327"/>
    <n v="3.5200000000000002E-2"/>
    <x v="2"/>
  </r>
  <r>
    <x v="231"/>
    <x v="231"/>
    <n v="8.4500000000000006E-2"/>
    <n v="1.46E-2"/>
    <n v="3.2899999999999999E-2"/>
    <n v="9.8799999999999999E-2"/>
    <n v="2370547"/>
    <n v="8.7374625168028131E-2"/>
    <n v="7.6902074990899169E-2"/>
    <n v="4.876666666666666E-2"/>
    <x v="2"/>
  </r>
  <r>
    <x v="232"/>
    <x v="232"/>
    <n v="2.3999999999999998E-3"/>
    <n v="4.0399999999999998E-2"/>
    <n v="9.8199999999999996E-2"/>
    <n v="0.15179999999999999"/>
    <n v="2374089"/>
    <n v="2.6613439787092478E-3"/>
    <n v="2.0836950859524223E-3"/>
    <n v="9.6799999999999997E-2"/>
    <x v="4"/>
  </r>
  <r>
    <x v="233"/>
    <x v="233"/>
    <n v="6.4000000000000003E-3"/>
    <n v="2.0000000000000001E-4"/>
    <n v="1.6999999999999999E-3"/>
    <n v="0.20080000000000001"/>
    <n v="2353469"/>
    <n v="6.410898527496745E-3"/>
    <n v="5.3297801465689541E-3"/>
    <n v="6.7566666666666678E-2"/>
    <x v="4"/>
  </r>
  <r>
    <x v="234"/>
    <x v="234"/>
    <n v="0.47160000000000002"/>
    <n v="1E-4"/>
    <n v="6.1699999999999998E-2"/>
    <n v="0.17929999999999999"/>
    <n v="2358329"/>
    <n v="0.50261110519023766"/>
    <n v="0.39989824472144492"/>
    <n v="8.0366666666666656E-2"/>
    <x v="2"/>
  </r>
  <r>
    <x v="235"/>
    <x v="235"/>
    <n v="9.1999999999999998E-3"/>
    <n v="6.1999999999999998E-3"/>
    <n v="5.2499999999999998E-2"/>
    <n v="9.06E-2"/>
    <n v="2353553"/>
    <n v="9.7097625329815307E-3"/>
    <n v="8.4357234549789096E-3"/>
    <n v="4.976666666666666E-2"/>
    <x v="4"/>
  </r>
  <r>
    <x v="236"/>
    <x v="236"/>
    <n v="5.0000000000000001E-4"/>
    <n v="1.12E-2"/>
    <n v="5.1499999999999997E-2"/>
    <n v="0.1086"/>
    <n v="2353302"/>
    <n v="5.2714812862414342E-4"/>
    <n v="4.5101930362619519E-4"/>
    <n v="5.7100000000000005E-2"/>
    <x v="4"/>
  </r>
  <r>
    <x v="237"/>
    <x v="237"/>
    <n v="5.0000000000000001E-4"/>
    <n v="3.5000000000000001E-3"/>
    <n v="1.35E-2"/>
    <n v="0.1231"/>
    <n v="2345080"/>
    <n v="5.0684237202230106E-4"/>
    <n v="4.4519633158222779E-4"/>
    <n v="4.6699999999999998E-2"/>
    <x v="4"/>
  </r>
  <r>
    <x v="238"/>
    <x v="238"/>
    <n v="1E-4"/>
    <n v="4.0000000000000002E-4"/>
    <n v="4.2500000000000003E-2"/>
    <n v="8.6099999999999996E-2"/>
    <n v="2344189"/>
    <n v="1.0443864229765013E-4"/>
    <n v="9.207255317189945E-5"/>
    <n v="4.3000000000000003E-2"/>
    <x v="4"/>
  </r>
  <r>
    <x v="239"/>
    <x v="239"/>
    <n v="6.1000000000000004E-3"/>
    <n v="1.06E-2"/>
    <n v="2.0199999999999999E-2"/>
    <n v="0.21190000000000001"/>
    <n v="2336440"/>
    <n v="6.2257603592569917E-3"/>
    <n v="5.0334185988942983E-3"/>
    <n v="8.09E-2"/>
    <x v="4"/>
  </r>
  <r>
    <x v="240"/>
    <x v="240"/>
    <n v="1.9E-3"/>
    <n v="0.3"/>
    <n v="8.1900000000000001E-2"/>
    <n v="0.1416"/>
    <n v="1877322"/>
    <n v="2.0694913408125476E-3"/>
    <n v="1.6643307638402243E-3"/>
    <n v="0.17450000000000002"/>
    <x v="4"/>
  </r>
  <r>
    <x v="241"/>
    <x v="241"/>
    <n v="8.8999999999999999E-3"/>
    <n v="1.7100000000000001E-2"/>
    <n v="0.2412"/>
    <n v="0.1356"/>
    <n v="1874528"/>
    <n v="1.1729045861887191E-2"/>
    <n v="7.8372666431842201E-3"/>
    <n v="0.1313"/>
    <x v="4"/>
  </r>
  <r>
    <x v="242"/>
    <x v="242"/>
    <n v="9.2999999999999992E-3"/>
    <n v="2E-3"/>
    <n v="8.4699999999999998E-2"/>
    <n v="5.0200000000000002E-2"/>
    <n v="1865479"/>
    <n v="1.0160603080957063E-2"/>
    <n v="8.8554561035993143E-3"/>
    <n v="4.5633333333333331E-2"/>
    <x v="4"/>
  </r>
  <r>
    <x v="243"/>
    <x v="243"/>
    <n v="2.0000000000000001E-4"/>
    <n v="6.1999999999999998E-3"/>
    <n v="1.7299999999999999E-2"/>
    <n v="0.18260000000000001"/>
    <n v="1864194"/>
    <n v="2.0352091177368474E-4"/>
    <n v="1.6911889058007779E-4"/>
    <n v="6.8699999999999997E-2"/>
    <x v="4"/>
  </r>
  <r>
    <x v="244"/>
    <x v="244"/>
    <n v="2.9999999999999997E-4"/>
    <n v="1E-3"/>
    <n v="8.0000000000000004E-4"/>
    <n v="8.0000000000000004E-4"/>
    <n v="1862553"/>
    <n v="3.0024019215372296E-4"/>
    <n v="2.9976019184652276E-4"/>
    <n v="8.6666666666666663E-4"/>
    <x v="4"/>
  </r>
  <r>
    <x v="245"/>
    <x v="245"/>
    <n v="2.0000000000000001E-4"/>
    <n v="2.75E-2"/>
    <n v="4.0500000000000001E-2"/>
    <n v="0.06"/>
    <n v="1861106"/>
    <n v="2.0844189682126107E-4"/>
    <n v="1.8867924528301886E-4"/>
    <n v="4.2666666666666665E-2"/>
    <x v="4"/>
  </r>
  <r>
    <x v="246"/>
    <x v="246"/>
    <n v="0.12959999999999999"/>
    <n v="2.0999999999999999E-3"/>
    <n v="0.14349999999999999"/>
    <n v="0.3533"/>
    <n v="1855961"/>
    <n v="0.15131348511383536"/>
    <n v="9.5765905564176454E-2"/>
    <n v="0.1663"/>
    <x v="2"/>
  </r>
  <r>
    <x v="247"/>
    <x v="247"/>
    <n v="4.3E-3"/>
    <n v="5.4999999999999997E-3"/>
    <n v="1.0999999999999999E-2"/>
    <n v="0.2001"/>
    <n v="1858287"/>
    <n v="4.3478260869565218E-3"/>
    <n v="3.583034747104408E-3"/>
    <n v="7.22E-2"/>
    <x v="4"/>
  </r>
  <r>
    <x v="248"/>
    <x v="248"/>
    <n v="177.59"/>
    <n v="1.5699999999999999E-2"/>
    <n v="0"/>
    <n v="3.0200000000000001E-2"/>
    <n v="1843100"/>
    <n v="177.59"/>
    <n v="172.38400310619298"/>
    <n v="1.5299999999999999E-2"/>
    <x v="0"/>
  </r>
  <r>
    <x v="249"/>
    <x v="249"/>
    <n v="1.8E-3"/>
    <n v="5.5999999999999999E-3"/>
    <n v="6.0699999999999997E-2"/>
    <n v="5.4699999999999999E-2"/>
    <n v="1842471"/>
    <n v="1.9163206643244969E-3"/>
    <n v="1.7066464397458992E-3"/>
    <n v="4.0333333333333332E-2"/>
    <x v="4"/>
  </r>
  <r>
    <x v="250"/>
    <x v="250"/>
    <n v="4.24"/>
    <n v="0"/>
    <n v="4.1399999999999999E-2"/>
    <n v="0.1588"/>
    <n v="1834665"/>
    <n v="4.423117045691634"/>
    <n v="3.6589575422851226"/>
    <n v="6.6733333333333325E-2"/>
    <x v="1"/>
  </r>
  <r>
    <x v="251"/>
    <x v="251"/>
    <n v="56.31"/>
    <n v="1.41E-2"/>
    <n v="3.8699999999999998E-2"/>
    <n v="0.10390000000000001"/>
    <n v="1828836"/>
    <n v="58.576927077915322"/>
    <n v="51.010055258628498"/>
    <n v="5.2233333333333333E-2"/>
    <x v="0"/>
  </r>
  <r>
    <x v="252"/>
    <x v="252"/>
    <n v="4.0000000000000001E-3"/>
    <n v="2.9999999999999997E-4"/>
    <n v="5.1799999999999999E-2"/>
    <n v="0.31240000000000001"/>
    <n v="1823746"/>
    <n v="4.2185192997257958E-3"/>
    <n v="3.0478512648582749E-3"/>
    <n v="0.1215"/>
    <x v="4"/>
  </r>
  <r>
    <x v="253"/>
    <x v="253"/>
    <n v="7.4000000000000003E-3"/>
    <n v="9.5999999999999992E-3"/>
    <n v="8.4900000000000003E-2"/>
    <n v="1.15E-2"/>
    <n v="1822167"/>
    <n v="8.0865479182602989E-3"/>
    <n v="7.3158675234799801E-3"/>
    <n v="3.5333333333333335E-2"/>
    <x v="4"/>
  </r>
  <r>
    <x v="254"/>
    <x v="254"/>
    <n v="7.1199999999999999E-2"/>
    <n v="0"/>
    <n v="1.9099999999999999E-2"/>
    <n v="0.1241"/>
    <n v="1820454"/>
    <n v="7.2586400244673263E-2"/>
    <n v="6.3339560537318734E-2"/>
    <n v="4.7733333333333329E-2"/>
    <x v="2"/>
  </r>
  <r>
    <x v="255"/>
    <x v="255"/>
    <n v="1.1999999999999999E-3"/>
    <n v="5.45E-2"/>
    <n v="0.1179"/>
    <n v="0.15179999999999999"/>
    <n v="1523333"/>
    <n v="1.3603899784604919E-3"/>
    <n v="1.0418475429762111E-3"/>
    <n v="0.10806666666666666"/>
    <x v="4"/>
  </r>
  <r>
    <x v="256"/>
    <x v="256"/>
    <n v="389.62"/>
    <n v="1.6400000000000001E-2"/>
    <n v="3.5200000000000002E-2"/>
    <n v="0.1285"/>
    <n v="1539338"/>
    <n v="403.83499170812604"/>
    <n v="345.25476295968099"/>
    <n v="6.0033333333333334E-2"/>
    <x v="0"/>
  </r>
  <r>
    <x v="257"/>
    <x v="257"/>
    <n v="2.9999999999999997E-4"/>
    <n v="0"/>
    <n v="5.9499999999999997E-2"/>
    <n v="0.1111"/>
    <n v="1532435"/>
    <n v="3.1897926634768739E-4"/>
    <n v="2.7000270002700027E-4"/>
    <n v="5.686666666666667E-2"/>
    <x v="4"/>
  </r>
  <r>
    <x v="258"/>
    <x v="258"/>
    <n v="102.36"/>
    <n v="2.1299999999999999E-2"/>
    <n v="3.8399999999999997E-2"/>
    <n v="0.1071"/>
    <n v="1532027"/>
    <n v="106.44758735440932"/>
    <n v="92.457772558937762"/>
    <n v="5.5600000000000004E-2"/>
    <x v="0"/>
  </r>
  <r>
    <x v="259"/>
    <x v="259"/>
    <n v="1.6999999999999999E-3"/>
    <n v="8.8000000000000005E-3"/>
    <n v="6.1999999999999998E-3"/>
    <n v="0.1893"/>
    <n v="1531565"/>
    <n v="1.7106057556852483E-3"/>
    <n v="1.4294122593122003E-3"/>
    <n v="6.8099999999999994E-2"/>
    <x v="4"/>
  </r>
  <r>
    <x v="260"/>
    <x v="260"/>
    <n v="1.5E-3"/>
    <n v="1.1999999999999999E-3"/>
    <n v="5.0000000000000001E-3"/>
    <n v="7.7000000000000002E-3"/>
    <n v="1531354"/>
    <n v="1.507537688442211E-3"/>
    <n v="1.4885382554331646E-3"/>
    <n v="4.6333333333333331E-3"/>
    <x v="4"/>
  </r>
  <r>
    <x v="261"/>
    <x v="261"/>
    <n v="5.9999999999999995E-4"/>
    <n v="4.1999999999999997E-3"/>
    <n v="6.7000000000000002E-3"/>
    <n v="5.2400000000000002E-2"/>
    <n v="1528419"/>
    <n v="6.0404711567502265E-4"/>
    <n v="5.701254275940706E-4"/>
    <n v="2.1099999999999997E-2"/>
    <x v="4"/>
  </r>
  <r>
    <x v="262"/>
    <x v="262"/>
    <n v="1.9E-3"/>
    <n v="1.9E-3"/>
    <n v="1.23E-2"/>
    <n v="1.0999999999999999E-2"/>
    <n v="1527045"/>
    <n v="1.923661030677331E-3"/>
    <n v="1.8793273986152327E-3"/>
    <n v="8.3999999999999995E-3"/>
    <x v="4"/>
  </r>
  <r>
    <x v="263"/>
    <x v="263"/>
    <n v="2.2200000000000001E-2"/>
    <n v="2.0000000000000001E-4"/>
    <n v="3.3999999999999998E-3"/>
    <n v="0.1434"/>
    <n v="1523298"/>
    <n v="2.2275737507525588E-2"/>
    <n v="1.9415777505684802E-2"/>
    <n v="4.8999999999999995E-2"/>
    <x v="4"/>
  </r>
  <r>
    <x v="264"/>
    <x v="264"/>
    <n v="1.6000000000000001E-3"/>
    <n v="9.1999999999999998E-3"/>
    <n v="7.1099999999999997E-2"/>
    <n v="0.1182"/>
    <n v="1522317"/>
    <n v="1.7224674346000646E-3"/>
    <n v="1.4308710427472723E-3"/>
    <n v="6.6166666666666665E-2"/>
    <x v="4"/>
  </r>
  <r>
    <x v="265"/>
    <x v="265"/>
    <n v="0.41980000000000001"/>
    <n v="1E-3"/>
    <n v="1.9400000000000001E-2"/>
    <n v="5.16E-2"/>
    <n v="1521368"/>
    <n v="0.42810524168876196"/>
    <n v="0.39920121719284896"/>
    <n v="2.4000000000000004E-2"/>
    <x v="2"/>
  </r>
  <r>
    <x v="266"/>
    <x v="266"/>
    <n v="2.9999999999999997E-4"/>
    <n v="9.7000000000000003E-3"/>
    <n v="1.17E-2"/>
    <n v="0.13120000000000001"/>
    <n v="1502367"/>
    <n v="3.0355155317211374E-4"/>
    <n v="2.652050919377652E-4"/>
    <n v="5.0866666666666671E-2"/>
    <x v="4"/>
  </r>
  <r>
    <x v="267"/>
    <x v="267"/>
    <n v="1.2999999999999999E-3"/>
    <n v="0"/>
    <n v="3.2199999999999999E-2"/>
    <n v="0.13039999999999999"/>
    <n v="1498526"/>
    <n v="1.3432527381690431E-3"/>
    <n v="1.1500353857041754E-3"/>
    <n v="5.4199999999999998E-2"/>
    <x v="4"/>
  </r>
  <r>
    <x v="268"/>
    <x v="268"/>
    <n v="250.33"/>
    <n v="1.8E-3"/>
    <n v="2.2000000000000001E-3"/>
    <n v="8.8200000000000001E-2"/>
    <n v="1497073"/>
    <n v="250.88194026859091"/>
    <n v="230.04043374379711"/>
    <n v="3.0733333333333335E-2"/>
    <x v="0"/>
  </r>
  <r>
    <x v="269"/>
    <x v="269"/>
    <n v="1.12E-2"/>
    <n v="8.1199999999999994E-2"/>
    <n v="4.6800000000000001E-2"/>
    <n v="5.5E-2"/>
    <n v="1496537"/>
    <n v="1.1749895090222407E-2"/>
    <n v="1.061611374407583E-2"/>
    <n v="6.0999999999999999E-2"/>
    <x v="4"/>
  </r>
  <r>
    <x v="270"/>
    <x v="270"/>
    <n v="3.0300000000000001E-2"/>
    <n v="8.3999999999999995E-3"/>
    <n v="1.67E-2"/>
    <n v="0.12820000000000001"/>
    <n v="1248376"/>
    <n v="3.0814603884877455E-2"/>
    <n v="2.6856940258819358E-2"/>
    <n v="5.11E-2"/>
    <x v="4"/>
  </r>
  <r>
    <x v="271"/>
    <x v="271"/>
    <n v="975.82"/>
    <n v="3.2000000000000002E-3"/>
    <n v="2.9999999999999997E-4"/>
    <n v="1.4800000000000001E-2"/>
    <n v="1247488"/>
    <n v="976.11283385015508"/>
    <n v="961.58849034292484"/>
    <n v="6.1000000000000004E-3"/>
    <x v="0"/>
  </r>
  <r>
    <x v="272"/>
    <x v="272"/>
    <n v="83"/>
    <n v="4.5999999999999999E-3"/>
    <n v="3.2000000000000002E-3"/>
    <n v="6.1800000000000001E-2"/>
    <n v="1246040"/>
    <n v="83.266452648475124"/>
    <n v="78.169146731964588"/>
    <n v="2.3199999999999998E-2"/>
    <x v="0"/>
  </r>
  <r>
    <x v="273"/>
    <x v="273"/>
    <n v="1E-3"/>
    <n v="9.1999999999999998E-3"/>
    <n v="1.7399999999999999E-2"/>
    <n v="5.5399999999999998E-2"/>
    <n v="1240212"/>
    <n v="1.017708121310808E-3"/>
    <n v="9.4750805381845762E-4"/>
    <n v="2.7333333333333331E-2"/>
    <x v="4"/>
  </r>
  <r>
    <x v="274"/>
    <x v="274"/>
    <n v="4.1000000000000003E-3"/>
    <n v="8.3400000000000002E-2"/>
    <n v="0.2979"/>
    <n v="0.18160000000000001"/>
    <n v="1241994"/>
    <n v="5.8396239851872958E-3"/>
    <n v="3.469871360866622E-3"/>
    <n v="0.18763333333333332"/>
    <x v="4"/>
  </r>
  <r>
    <x v="275"/>
    <x v="275"/>
    <n v="2.9999999999999997E-4"/>
    <n v="1.2500000000000001E-2"/>
    <n v="3.3000000000000002E-2"/>
    <n v="1.9E-3"/>
    <n v="1232104"/>
    <n v="3.1023784901758014E-4"/>
    <n v="2.9943108094620217E-4"/>
    <n v="1.5799999999999998E-2"/>
    <x v="4"/>
  </r>
  <r>
    <x v="276"/>
    <x v="276"/>
    <n v="1.1499999999999999"/>
    <n v="2.2000000000000001E-3"/>
    <n v="1.9E-3"/>
    <n v="8.6999999999999994E-3"/>
    <n v="1231341"/>
    <n v="1.1521891594028653"/>
    <n v="1.1400812927530484"/>
    <n v="4.266666666666666E-3"/>
    <x v="1"/>
  </r>
  <r>
    <x v="277"/>
    <x v="277"/>
    <n v="6.2799999999999995E-2"/>
    <n v="4.1000000000000003E-3"/>
    <n v="2.0199999999999999E-2"/>
    <n v="0.20660000000000001"/>
    <n v="1232386"/>
    <n v="6.4094713206776885E-2"/>
    <n v="5.2047074424001326E-2"/>
    <n v="7.6966666666666669E-2"/>
    <x v="2"/>
  </r>
  <r>
    <x v="278"/>
    <x v="278"/>
    <n v="2.8999999999999998E-3"/>
    <n v="1.1900000000000001E-2"/>
    <n v="3.5000000000000001E-3"/>
    <n v="0.20730000000000001"/>
    <n v="1227612"/>
    <n v="2.9101856497742093E-3"/>
    <n v="2.4020541704630164E-3"/>
    <n v="7.4233333333333332E-2"/>
    <x v="4"/>
  </r>
  <r>
    <x v="279"/>
    <x v="279"/>
    <n v="1.0200000000000001E-2"/>
    <n v="0"/>
    <n v="1.2E-2"/>
    <n v="0.22539999999999999"/>
    <n v="1219271"/>
    <n v="1.0323886639676115E-2"/>
    <n v="8.3238126326097596E-3"/>
    <n v="7.9133333333333333E-2"/>
    <x v="4"/>
  </r>
  <r>
    <x v="280"/>
    <x v="280"/>
    <n v="4.1000000000000003E-3"/>
    <n v="7.6E-3"/>
    <n v="5.5E-2"/>
    <n v="0.1757"/>
    <n v="1217870"/>
    <n v="4.3386243386243396E-3"/>
    <n v="3.4872841711320918E-3"/>
    <n v="7.9433333333333342E-2"/>
    <x v="4"/>
  </r>
  <r>
    <x v="281"/>
    <x v="281"/>
    <n v="5.0500000000000003E-2"/>
    <n v="4.1999999999999997E-3"/>
    <n v="5.5999999999999999E-3"/>
    <n v="1.46E-2"/>
    <n v="1217388"/>
    <n v="5.0784392598551893E-2"/>
    <n v="4.9773309678691119E-2"/>
    <n v="8.1333333333333327E-3"/>
    <x v="2"/>
  </r>
  <r>
    <x v="282"/>
    <x v="282"/>
    <n v="5.8999999999999999E-3"/>
    <n v="1E-3"/>
    <n v="5.4000000000000003E-3"/>
    <n v="0.26369999999999999"/>
    <n v="1211729"/>
    <n v="5.9320329780816403E-3"/>
    <n v="4.6688296272849568E-3"/>
    <n v="9.003333333333334E-2"/>
    <x v="4"/>
  </r>
  <r>
    <x v="283"/>
    <x v="283"/>
    <n v="1.03E-2"/>
    <n v="2.0000000000000001E-4"/>
    <n v="1.3299999999999999E-2"/>
    <n v="0.23760000000000001"/>
    <n v="1210645"/>
    <n v="1.0438836525793048E-2"/>
    <n v="8.3225597931480284E-3"/>
    <n v="8.3699999999999997E-2"/>
    <x v="4"/>
  </r>
  <r>
    <x v="284"/>
    <x v="284"/>
    <n v="5.4999999999999997E-3"/>
    <n v="0"/>
    <n v="1.2500000000000001E-2"/>
    <n v="1.9300000000000001E-2"/>
    <n v="1209631"/>
    <n v="5.5696202531645561E-3"/>
    <n v="5.3958599038555861E-3"/>
    <n v="1.06E-2"/>
    <x v="4"/>
  </r>
  <r>
    <x v="285"/>
    <x v="285"/>
    <n v="21.21"/>
    <n v="1E-4"/>
    <n v="6.08E-2"/>
    <n v="0.19070000000000001"/>
    <n v="989654"/>
    <n v="22.583049403747872"/>
    <n v="17.813051146384478"/>
    <n v="8.3866666666666659E-2"/>
    <x v="3"/>
  </r>
  <r>
    <x v="286"/>
    <x v="286"/>
    <n v="25.62"/>
    <n v="2.52E-2"/>
    <n v="1E-3"/>
    <n v="5.3900000000000003E-2"/>
    <n v="988940"/>
    <n v="25.645645645645647"/>
    <n v="24.309706803302021"/>
    <n v="2.6700000000000002E-2"/>
    <x v="3"/>
  </r>
  <r>
    <x v="287"/>
    <x v="287"/>
    <n v="1E-3"/>
    <n v="5.3E-3"/>
    <n v="2.3099999999999999E-2"/>
    <n v="0.11509999999999999"/>
    <n v="987437"/>
    <n v="1.0236462278636503E-3"/>
    <n v="8.9678055779750698E-4"/>
    <n v="4.7833333333333332E-2"/>
    <x v="4"/>
  </r>
  <r>
    <x v="288"/>
    <x v="288"/>
    <n v="4.5999999999999999E-3"/>
    <n v="4.0000000000000002E-4"/>
    <n v="7.4000000000000003E-3"/>
    <n v="0.13950000000000001"/>
    <n v="984510"/>
    <n v="4.6342937739270599E-3"/>
    <n v="4.0368582711715669E-3"/>
    <n v="4.9100000000000005E-2"/>
    <x v="4"/>
  </r>
  <r>
    <x v="289"/>
    <x v="289"/>
    <n v="2.8999999999999998E-3"/>
    <n v="1.6500000000000001E-2"/>
    <n v="1.9E-2"/>
    <n v="0.2064"/>
    <n v="983577"/>
    <n v="2.9561671763506624E-3"/>
    <n v="2.403846153846154E-3"/>
    <n v="8.0633333333333335E-2"/>
    <x v="4"/>
  </r>
  <r>
    <x v="290"/>
    <x v="290"/>
    <n v="96.11"/>
    <n v="1.41E-2"/>
    <n v="8.3599999999999994E-2"/>
    <n v="0.11459999999999999"/>
    <n v="981048"/>
    <n v="104.87778262767351"/>
    <n v="86.228243315987797"/>
    <n v="7.0766666666666658E-2"/>
    <x v="0"/>
  </r>
  <r>
    <x v="291"/>
    <x v="291"/>
    <n v="0.32740000000000002"/>
    <n v="2.9999999999999997E-4"/>
    <n v="2.1999999999999999E-2"/>
    <n v="0.1802"/>
    <n v="979934"/>
    <n v="0.33476482617586917"/>
    <n v="0.27741060837146253"/>
    <n v="6.7500000000000004E-2"/>
    <x v="2"/>
  </r>
  <r>
    <x v="292"/>
    <x v="292"/>
    <n v="1.06E-2"/>
    <n v="0"/>
    <n v="0.1229"/>
    <n v="0.54859999999999998"/>
    <n v="974476"/>
    <n v="1.2085281039790218E-2"/>
    <n v="6.844892160661243E-3"/>
    <n v="0.22383333333333333"/>
    <x v="4"/>
  </r>
  <r>
    <x v="293"/>
    <x v="293"/>
    <n v="1E-3"/>
    <n v="5.4999999999999997E-3"/>
    <n v="0.15240000000000001"/>
    <n v="9.7699999999999995E-2"/>
    <n v="973084"/>
    <n v="1.1798017932987258E-3"/>
    <n v="9.1099571832012403E-4"/>
    <n v="8.5199999999999998E-2"/>
    <x v="4"/>
  </r>
  <r>
    <x v="294"/>
    <x v="294"/>
    <n v="1.0800000000000001E-2"/>
    <n v="5.4000000000000003E-3"/>
    <n v="9.9000000000000008E-3"/>
    <n v="5.6099999999999997E-2"/>
    <n v="970983"/>
    <n v="1.0907989092010909E-2"/>
    <n v="1.0226304327241739E-2"/>
    <n v="2.3799999999999998E-2"/>
    <x v="4"/>
  </r>
  <r>
    <x v="295"/>
    <x v="295"/>
    <n v="1E-3"/>
    <n v="8.2000000000000003E-2"/>
    <n v="0.21310000000000001"/>
    <n v="3.8E-3"/>
    <n v="971516"/>
    <n v="1.2708095056551023E-3"/>
    <n v="9.9621438533572431E-4"/>
    <n v="9.9633333333333352E-2"/>
    <x v="4"/>
  </r>
  <r>
    <x v="296"/>
    <x v="296"/>
    <n v="6.3E-3"/>
    <n v="0"/>
    <n v="1.41E-2"/>
    <n v="0.2117"/>
    <n v="969733"/>
    <n v="6.3901004158636778E-3"/>
    <n v="5.1993067590987872E-3"/>
    <n v="7.5266666666666662E-2"/>
    <x v="4"/>
  </r>
  <r>
    <x v="297"/>
    <x v="297"/>
    <n v="1E-4"/>
    <n v="1.6000000000000001E-3"/>
    <n v="8.0000000000000004E-4"/>
    <n v="2.5999999999999999E-3"/>
    <n v="967677"/>
    <n v="1.00080064051241E-4"/>
    <n v="9.9740674246957925E-5"/>
    <n v="1.6666666666666668E-3"/>
    <x v="4"/>
  </r>
  <r>
    <x v="298"/>
    <x v="298"/>
    <n v="5.5999999999999999E-3"/>
    <n v="9.1999999999999998E-3"/>
    <n v="0.14480000000000001"/>
    <n v="0.95399999999999996"/>
    <n v="967116"/>
    <n v="6.5481758652946682E-3"/>
    <n v="2.8659160696008191E-3"/>
    <n v="0.36933333333333335"/>
    <x v="4"/>
  </r>
  <r>
    <x v="299"/>
    <x v="299"/>
    <n v="113.48"/>
    <n v="1.4800000000000001E-2"/>
    <n v="6.13E-2"/>
    <n v="0.1678"/>
    <n v="961867"/>
    <n v="120.89059337381485"/>
    <n v="97.174173659873276"/>
    <n v="8.1299999999999997E-2"/>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2">
  <r>
    <x v="0"/>
    <s v="CMC20"/>
    <n v="122.28"/>
    <n v="0"/>
    <n v="12717729"/>
    <n v="5017104"/>
    <s v="Yes"/>
    <n v="104000"/>
    <x v="0"/>
  </r>
  <r>
    <x v="1"/>
    <s v="BTC"/>
    <n v="60968.85"/>
    <n v="5.9999999999999995E-4"/>
    <n v="1222307110742"/>
    <n v="67558459644"/>
    <s v="Yes"/>
    <n v="20030000"/>
    <x v="0"/>
  </r>
  <r>
    <x v="2"/>
    <s v="ETH"/>
    <n v="1573.61"/>
    <n v="1.2999999999999999E-3"/>
    <n v="189809648557"/>
    <n v="36178864935"/>
    <s v="Yes"/>
    <n v="120680000"/>
    <x v="0"/>
  </r>
  <r>
    <x v="3"/>
    <s v="USDT"/>
    <n v="0.99929999999999997"/>
    <n v="1E-4"/>
    <n v="187016155521"/>
    <n v="128822587010"/>
    <s v="No"/>
    <n v="187110000000"/>
    <x v="1"/>
  </r>
  <r>
    <x v="4"/>
    <s v="BNB"/>
    <n v="578.54"/>
    <n v="3.5000000000000001E-3"/>
    <n v="77889548635"/>
    <n v="2533998725"/>
    <s v="Yes"/>
    <n v="134780000"/>
    <x v="0"/>
  </r>
  <r>
    <x v="5"/>
    <s v="USDC"/>
    <n v="0.99960000000000004"/>
    <n v="1E-4"/>
    <n v="75523419769"/>
    <n v="22902529346"/>
    <s v="No"/>
    <n v="75550000000"/>
    <x v="1"/>
  </r>
  <r>
    <x v="6"/>
    <s v="XRP"/>
    <n v="1.0900000000000001"/>
    <n v="2.3999999999999998E-3"/>
    <n v="67738003484"/>
    <n v="3848897507"/>
    <s v="Yes"/>
    <n v="62050000000"/>
    <x v="1"/>
  </r>
  <r>
    <x v="7"/>
    <s v="SOL"/>
    <n v="62.84"/>
    <n v="6.9999999999999999E-4"/>
    <n v="36358851579"/>
    <n v="5356898486"/>
    <s v="No"/>
    <n v="578550000"/>
    <x v="0"/>
  </r>
  <r>
    <x v="8"/>
    <s v="TRX"/>
    <n v="0.32100000000000001"/>
    <n v="8.0000000000000004E-4"/>
    <n v="30438649541"/>
    <n v="947082968"/>
    <s v="No"/>
    <n v="94810000000"/>
    <x v="1"/>
  </r>
  <r>
    <x v="9"/>
    <s v="HYPE"/>
    <n v="59.86"/>
    <n v="1.03E-2"/>
    <n v="15164710261"/>
    <n v="1291024158"/>
    <s v="No"/>
    <n v="253320000"/>
    <x v="0"/>
  </r>
  <r>
    <x v="10"/>
    <s v="DOGE"/>
    <n v="8.1100000000000005E-2"/>
    <n v="2.8999999999999998E-3"/>
    <n v="12531182811"/>
    <n v="1790825480"/>
    <s v="Yes"/>
    <n v="154540000000"/>
    <x v="1"/>
  </r>
  <r>
    <x v="11"/>
    <s v="LEO"/>
    <n v="9.61"/>
    <n v="5.0000000000000001E-4"/>
    <n v="8854268103"/>
    <n v="3832378"/>
    <s v="No"/>
    <n v="920450000"/>
    <x v="1"/>
  </r>
  <r>
    <x v="12"/>
    <s v="XLM"/>
    <n v="0.19620000000000001"/>
    <n v="5.1999999999999998E-3"/>
    <n v="6619168999"/>
    <n v="916226709"/>
    <s v="Yes"/>
    <n v="33720000000"/>
    <x v="1"/>
  </r>
  <r>
    <x v="13"/>
    <s v="ZEC"/>
    <n v="383.84"/>
    <n v="3.5099999999999999E-2"/>
    <n v="6413297048"/>
    <n v="3017414794"/>
    <s v="Yes"/>
    <n v="16700000"/>
    <x v="0"/>
  </r>
  <r>
    <x v="14"/>
    <s v="CC"/>
    <n v="0.15060000000000001"/>
    <n v="6.6E-3"/>
    <n v="5833576479"/>
    <n v="27162323"/>
    <s v="No"/>
    <n v="38720000000"/>
    <x v="1"/>
  </r>
  <r>
    <x v="15"/>
    <s v="CRV"/>
    <n v="0.18090000000000001"/>
    <n v="2.5000000000000001E-3"/>
    <n v="273900730"/>
    <n v="64467700"/>
    <s v="No"/>
    <n v="1510000000"/>
    <x v="1"/>
  </r>
  <r>
    <x v="16"/>
    <s v="TIA"/>
    <n v="0.29780000000000001"/>
    <n v="7.7999999999999996E-3"/>
    <n v="274014139"/>
    <n v="45031935"/>
    <s v="No"/>
    <n v="919930000"/>
    <x v="1"/>
  </r>
  <r>
    <x v="17"/>
    <s v="SPX"/>
    <n v="0.28610000000000002"/>
    <n v="3.0000000000000001E-3"/>
    <n v="266357437"/>
    <n v="13854074"/>
    <s v="No"/>
    <n v="930990000"/>
    <x v="1"/>
  </r>
  <r>
    <x v="18"/>
    <s v="NFT"/>
    <n v="6.2700000000000006E-2"/>
    <n v="1.9E-3"/>
    <n v="264481802"/>
    <n v="12531234"/>
    <s v="No"/>
    <n v="990100000000000"/>
    <x v="1"/>
  </r>
  <r>
    <x v="19"/>
    <s v="BTT"/>
    <n v="6.2600000000000003E-2"/>
    <n v="6.1999999999999998E-3"/>
    <n v="261321974"/>
    <n v="11801193"/>
    <s v="Yes"/>
    <n v="987030000000000"/>
    <x v="1"/>
  </r>
  <r>
    <x v="20"/>
    <s v="XTZ"/>
    <n v="0.24060000000000001"/>
    <n v="5.8999999999999999E-3"/>
    <n v="261597532"/>
    <n v="21160459"/>
    <s v="Yes"/>
    <n v="1080000000"/>
    <x v="1"/>
  </r>
  <r>
    <x v="21"/>
    <s v="CHZ"/>
    <n v="2.4500000000000001E-2"/>
    <n v="6.9999999999999999E-4"/>
    <n v="254959926"/>
    <n v="80182341"/>
    <s v="Yes"/>
    <n v="10390000000"/>
    <x v="1"/>
  </r>
  <r>
    <x v="22"/>
    <s v="ETHFI"/>
    <n v="0.28649999999999998"/>
    <n v="9.1000000000000004E-3"/>
    <n v="252395264"/>
    <n v="55933141"/>
    <s v="No"/>
    <n v="880660000"/>
    <x v="1"/>
  </r>
  <r>
    <x v="23"/>
    <s v="IMX"/>
    <n v="0.12540000000000001"/>
    <n v="1E-4"/>
    <n v="250900826"/>
    <n v="24328657"/>
    <s v="Yes"/>
    <n v="2000000000"/>
    <x v="1"/>
  </r>
  <r>
    <x v="24"/>
    <s v="JTO"/>
    <n v="0.51719999999999999"/>
    <n v="1.5900000000000001E-2"/>
    <n v="248179055"/>
    <n v="48228844"/>
    <s v="Yes"/>
    <n v="479780000"/>
    <x v="1"/>
  </r>
  <r>
    <x v="25"/>
    <s v="MON"/>
    <n v="2.0899999999999998E-2"/>
    <n v="8.0000000000000004E-4"/>
    <n v="247632562"/>
    <n v="87830456"/>
    <s v="No"/>
    <n v="11820000000"/>
    <x v="1"/>
  </r>
  <r>
    <x v="26"/>
    <s v="PYTH"/>
    <n v="3.1399999999999997E-2"/>
    <n v="8.5000000000000006E-3"/>
    <n v="247031990"/>
    <n v="13164245"/>
    <s v="No"/>
    <n v="7870000000"/>
    <x v="1"/>
  </r>
  <r>
    <x v="27"/>
    <s v="ZBCN"/>
    <n v="2.3999999999999998E-3"/>
    <n v="6.1000000000000004E-3"/>
    <n v="243283377"/>
    <n v="12663323"/>
    <s v="Yes"/>
    <n v="99990000000"/>
    <x v="1"/>
  </r>
  <r>
    <x v="28"/>
    <s v="2Z"/>
    <n v="6.9599999999999995E-2"/>
    <n v="1.6999999999999999E-3"/>
    <n v="241466434"/>
    <n v="7123655"/>
    <s v="No"/>
    <n v="3470000000"/>
    <x v="1"/>
  </r>
  <r>
    <x v="29"/>
    <s v="GNO"/>
    <n v="90.35"/>
    <n v="2.8E-3"/>
    <n v="238500300"/>
    <n v="8245189"/>
    <s v="No"/>
    <n v="2630000"/>
    <x v="0"/>
  </r>
  <r>
    <x v="30"/>
    <s v="RAIN"/>
    <n v="1.2999999999999999E-2"/>
    <n v="2.0000000000000001E-4"/>
    <n v="8117598746"/>
    <n v="50695389"/>
    <s v="No"/>
    <n v="622640000000"/>
    <x v="1"/>
  </r>
  <r>
    <x v="31"/>
    <s v="LAB"/>
    <n v="9.32"/>
    <n v="3.4099999999999998E-2"/>
    <n v="2890106122"/>
    <n v="131356485"/>
    <s v="No"/>
    <n v="309950000"/>
    <x v="1"/>
  </r>
  <r>
    <x v="32"/>
    <s v="USDY"/>
    <n v="1.1299999999999999"/>
    <n v="1.6999999999999999E-3"/>
    <n v="2140253880"/>
    <n v="250723"/>
    <s v="Yes"/>
    <n v="1880000000"/>
    <x v="1"/>
  </r>
  <r>
    <x v="33"/>
    <s v="HTX"/>
    <n v="5.1700000000000003E-2"/>
    <n v="1.1999999999999999E-3"/>
    <n v="1565068927"/>
    <n v="31262065"/>
    <s v="No"/>
    <n v="905700000000000"/>
    <x v="1"/>
  </r>
  <r>
    <x v="34"/>
    <s v="USDf"/>
    <n v="0.99639999999999995"/>
    <n v="5.9999999999999995E-4"/>
    <n v="1297731215"/>
    <n v="3375873"/>
    <s v="No"/>
    <n v="1300000000"/>
    <x v="1"/>
  </r>
  <r>
    <x v="35"/>
    <s v="CTM"/>
    <n v="0.184"/>
    <n v="3.5000000000000001E-3"/>
    <n v="820728735"/>
    <n v="13299991"/>
    <s v="Yes"/>
    <n v="4450000000"/>
    <x v="1"/>
  </r>
  <r>
    <x v="36"/>
    <s v="JLP"/>
    <n v="3.21"/>
    <n v="1E-4"/>
    <n v="714715192"/>
    <n v="14229959"/>
    <s v="No"/>
    <n v="221970000"/>
    <x v="1"/>
  </r>
  <r>
    <x v="37"/>
    <s v="BDX"/>
    <n v="7.8700000000000006E-2"/>
    <n v="5.4000000000000003E-3"/>
    <n v="609084813"/>
    <n v="10007774"/>
    <s v="Yes"/>
    <n v="7730000000"/>
    <x v="1"/>
  </r>
  <r>
    <x v="38"/>
    <s v="GHO"/>
    <n v="0.99919999999999998"/>
    <n v="4.0000000000000002E-4"/>
    <n v="583570858"/>
    <n v="2244874"/>
    <s v="No"/>
    <n v="584000000"/>
    <x v="1"/>
  </r>
  <r>
    <x v="39"/>
    <s v="TBLLX"/>
    <n v="105.91"/>
    <n v="0"/>
    <n v="571672236"/>
    <n v="423"/>
    <s v="No"/>
    <n v="5390000"/>
    <x v="0"/>
  </r>
  <r>
    <x v="40"/>
    <s v="USX"/>
    <n v="1"/>
    <n v="2.9999999999999997E-4"/>
    <n v="491058984"/>
    <n v="312567119"/>
    <s v="No"/>
    <n v="490620000"/>
    <x v="1"/>
  </r>
  <r>
    <x v="41"/>
    <s v="USDGO"/>
    <n v="1"/>
    <n v="0"/>
    <n v="305808446"/>
    <n v="1874312"/>
    <s v="Yes"/>
    <n v="305800000"/>
    <x v="1"/>
  </r>
  <r>
    <x v="42"/>
    <s v="FRAX"/>
    <n v="0.9929"/>
    <n v="0"/>
    <n v="273892137"/>
    <n v="13849236"/>
    <s v="Yes"/>
    <n v="275840000"/>
    <x v="1"/>
  </r>
  <r>
    <x v="43"/>
    <s v="KMNO"/>
    <n v="1.4200000000000001E-2"/>
    <n v="6.1000000000000004E-3"/>
    <n v="67643803"/>
    <n v="5138075"/>
    <s v="Yes"/>
    <n v="4770000000"/>
    <x v="1"/>
  </r>
  <r>
    <x v="44"/>
    <s v="KOX"/>
    <n v="79.25"/>
    <n v="2.0000000000000001E-4"/>
    <n v="67492922"/>
    <n v="1492"/>
    <s v="No"/>
    <n v="851580"/>
    <x v="0"/>
  </r>
  <r>
    <x v="45"/>
    <s v="MY"/>
    <n v="6.8199999999999997E-2"/>
    <n v="1.55E-2"/>
    <n v="67243924"/>
    <n v="204652"/>
    <s v="No"/>
    <n v="986440000"/>
    <x v="1"/>
  </r>
  <r>
    <x v="46"/>
    <s v="IVVon"/>
    <n v="746.2"/>
    <n v="6.9999999999999999E-4"/>
    <n v="66999291"/>
    <n v="1091042"/>
    <s v="Yes"/>
    <n v="89780"/>
    <x v="0"/>
  </r>
  <r>
    <x v="47"/>
    <s v="RVN"/>
    <n v="4.1000000000000003E-3"/>
    <n v="5.8999999999999999E-3"/>
    <n v="66960760"/>
    <n v="10832272"/>
    <s v="No"/>
    <n v="16280000000.000002"/>
    <x v="1"/>
  </r>
  <r>
    <x v="48"/>
    <s v="BERA"/>
    <n v="0.24160000000000001"/>
    <n v="1.8E-3"/>
    <n v="66707414"/>
    <n v="22230640"/>
    <s v="No"/>
    <n v="276050000"/>
    <x v="1"/>
  </r>
  <r>
    <x v="49"/>
    <s v="NILA"/>
    <n v="7.8200000000000006E-2"/>
    <n v="5.1999999999999998E-3"/>
    <n v="65908563"/>
    <n v="238851"/>
    <s v="Yes"/>
    <n v="842760000"/>
    <x v="1"/>
  </r>
  <r>
    <x v="50"/>
    <s v="AIOZ"/>
    <n v="5.2299999999999999E-2"/>
    <n v="1.5E-3"/>
    <n v="65765710"/>
    <n v="5958343"/>
    <s v="No"/>
    <n v="1250000000"/>
    <x v="1"/>
  </r>
  <r>
    <x v="51"/>
    <s v="DRV"/>
    <n v="8.8999999999999996E-2"/>
    <n v="7.1000000000000004E-3"/>
    <n v="65648698"/>
    <n v="533716"/>
    <s v="No"/>
    <n v="737520000"/>
    <x v="1"/>
  </r>
  <r>
    <x v="52"/>
    <s v="HUMA"/>
    <n v="2.2599999999999999E-2"/>
    <n v="3.4299999999999997E-2"/>
    <n v="65583008"/>
    <n v="11639267"/>
    <s v="No"/>
    <n v="2890000000"/>
    <x v="1"/>
  </r>
  <r>
    <x v="53"/>
    <s v="GEOD"/>
    <n v="0.1489"/>
    <n v="3.0000000000000001E-3"/>
    <n v="65371126"/>
    <n v="789243"/>
    <s v="Yes"/>
    <n v="438770000"/>
    <x v="1"/>
  </r>
  <r>
    <x v="54"/>
    <s v="KSM"/>
    <n v="3.56"/>
    <n v="5.4000000000000003E-3"/>
    <n v="65311608"/>
    <n v="15229544"/>
    <s v="No"/>
    <n v="18310000"/>
    <x v="1"/>
  </r>
  <r>
    <x v="55"/>
    <s v="CARDS"/>
    <n v="0.16170000000000001"/>
    <n v="9.5999999999999992E-3"/>
    <n v="64581629"/>
    <n v="6074209"/>
    <s v="No"/>
    <n v="399310000"/>
    <x v="1"/>
  </r>
  <r>
    <x v="56"/>
    <s v="IEMGx"/>
    <n v="80.22"/>
    <n v="0"/>
    <n v="64458178"/>
    <n v="680"/>
    <s v="No"/>
    <n v="803510"/>
    <x v="0"/>
  </r>
  <r>
    <x v="57"/>
    <s v="PLUME"/>
    <n v="1.12E-2"/>
    <n v="5.4999999999999997E-3"/>
    <n v="64401807"/>
    <n v="24722387"/>
    <s v="Yes"/>
    <n v="5750000000"/>
    <x v="1"/>
  </r>
  <r>
    <x v="58"/>
    <s v="AXL"/>
    <n v="4.1399999999999999E-2"/>
    <n v="1.8E-3"/>
    <n v="48952469"/>
    <n v="7896120"/>
    <s v="No"/>
    <n v="1180000000"/>
    <x v="1"/>
  </r>
  <r>
    <x v="59"/>
    <s v="COPXx"/>
    <n v="80.5"/>
    <n v="0"/>
    <n v="48945358"/>
    <n v="380"/>
    <s v="No"/>
    <n v="608010"/>
    <x v="0"/>
  </r>
  <r>
    <x v="60"/>
    <s v="TQQQX"/>
    <n v="74.400000000000006"/>
    <n v="9.4999999999999998E-3"/>
    <n v="48783089"/>
    <n v="17532"/>
    <s v="No"/>
    <n v="655670"/>
    <x v="0"/>
  </r>
  <r>
    <x v="61"/>
    <s v="OMI"/>
    <n v="2.0000000000000001E-4"/>
    <n v="6.6E-3"/>
    <n v="48767797"/>
    <n v="985843"/>
    <s v="Yes"/>
    <n v="282560000000"/>
    <x v="1"/>
  </r>
  <r>
    <x v="62"/>
    <s v="SUSHI"/>
    <n v="0.1699"/>
    <n v="1.1000000000000001E-3"/>
    <n v="48740328"/>
    <n v="15422449"/>
    <s v="Yes"/>
    <n v="286830000"/>
    <x v="1"/>
  </r>
  <r>
    <x v="63"/>
    <s v="TONXX"/>
    <n v="3.13"/>
    <n v="0"/>
    <n v="48697028"/>
    <n v="2438"/>
    <s v="No"/>
    <n v="15550000"/>
    <x v="1"/>
  </r>
  <r>
    <x v="64"/>
    <s v="ASTR"/>
    <n v="5.5999999999999999E-3"/>
    <n v="1.1000000000000001E-3"/>
    <n v="48455448"/>
    <n v="6358343"/>
    <s v="Yes"/>
    <n v="8700000000"/>
    <x v="1"/>
  </r>
  <r>
    <x v="65"/>
    <s v="RON"/>
    <n v="6.2399999999999997E-2"/>
    <n v="1E-4"/>
    <n v="48212985"/>
    <n v="7637657"/>
    <s v="No"/>
    <n v="772400000"/>
    <x v="1"/>
  </r>
  <r>
    <x v="66"/>
    <s v="CTC"/>
    <n v="8.8700000000000001E-2"/>
    <n v="3.0000000000000001E-3"/>
    <n v="47938768"/>
    <n v="6086708"/>
    <s v="Yes"/>
    <n v="540650000"/>
    <x v="1"/>
  </r>
  <r>
    <x v="67"/>
    <s v="XAUM"/>
    <n v="4297.6899999999996"/>
    <n v="2.2000000000000001E-3"/>
    <n v="48139273"/>
    <n v="976085"/>
    <s v="No"/>
    <n v="11200"/>
    <x v="0"/>
  </r>
  <r>
    <x v="68"/>
    <s v="JCT"/>
    <n v="4.1999999999999997E-3"/>
    <n v="1.54E-2"/>
    <n v="48119901"/>
    <n v="5545498"/>
    <s v="No"/>
    <n v="11490000000"/>
    <x v="1"/>
  </r>
  <r>
    <x v="69"/>
    <s v="ALLO"/>
    <n v="0.23980000000000001"/>
    <n v="4.9399999999999999E-2"/>
    <n v="48090384"/>
    <n v="141536591"/>
    <s v="No"/>
    <n v="200500000"/>
    <x v="1"/>
  </r>
  <r>
    <x v="70"/>
    <s v="SERV"/>
    <n v="6.2199999999999998E-2"/>
    <n v="1.06E-2"/>
    <n v="47866357"/>
    <n v="1720458"/>
    <s v="No"/>
    <n v="770000000"/>
    <x v="1"/>
  </r>
  <r>
    <x v="71"/>
    <s v="IO"/>
    <n v="0.1376"/>
    <n v="5.4999999999999997E-3"/>
    <n v="47690084"/>
    <n v="48669769"/>
    <s v="No"/>
    <n v="346460000"/>
    <x v="1"/>
  </r>
  <r>
    <x v="72"/>
    <s v="AMP"/>
    <n v="5.0000000000000001E-4"/>
    <n v="6.3E-3"/>
    <n v="47484528"/>
    <n v="8718804"/>
    <s v="No"/>
    <n v="86780000000"/>
    <x v="1"/>
  </r>
  <r>
    <x v="73"/>
    <s v="PROVE"/>
    <n v="0.18240000000000001"/>
    <n v="3.7000000000000002E-3"/>
    <n v="35571971"/>
    <n v="11440117"/>
    <s v="No"/>
    <n v="195000000"/>
    <x v="1"/>
  </r>
  <r>
    <x v="74"/>
    <s v="CUSD"/>
    <n v="0.99960000000000004"/>
    <n v="5.9999999999999995E-4"/>
    <n v="35541504"/>
    <n v="964372"/>
    <s v="Yes"/>
    <n v="35550000"/>
    <x v="1"/>
  </r>
  <r>
    <x v="75"/>
    <s v="MEME"/>
    <n v="5.9999999999999995E-4"/>
    <n v="1.9E-3"/>
    <n v="35282668"/>
    <n v="153322722"/>
    <s v="No"/>
    <n v="63510000000"/>
    <x v="1"/>
  </r>
  <r>
    <x v="76"/>
    <s v="SN51"/>
    <n v="9.2200000000000006"/>
    <n v="9.7000000000000003E-3"/>
    <n v="35242668"/>
    <n v="92643"/>
    <s v="Yes"/>
    <n v="3810000"/>
    <x v="1"/>
  </r>
  <r>
    <x v="77"/>
    <s v="PEPX"/>
    <n v="145.52000000000001"/>
    <n v="0"/>
    <n v="35190489"/>
    <n v="296"/>
    <s v="No"/>
    <n v="241810"/>
    <x v="0"/>
  </r>
  <r>
    <x v="78"/>
    <s v="MASK"/>
    <n v="0.34860000000000002"/>
    <n v="4.7999999999999996E-3"/>
    <n v="34868018"/>
    <n v="24332761"/>
    <s v="No"/>
    <n v="100000000"/>
    <x v="1"/>
  </r>
  <r>
    <x v="79"/>
    <s v="LUNA"/>
    <n v="4.9099999999999998E-2"/>
    <n v="5.7000000000000002E-3"/>
    <n v="34850619"/>
    <n v="13466730"/>
    <s v="Yes"/>
    <n v="709980000"/>
    <x v="1"/>
  </r>
  <r>
    <x v="80"/>
    <s v="IBMX"/>
    <n v="287.52999999999997"/>
    <n v="0"/>
    <n v="34702682"/>
    <n v="2098"/>
    <s v="No"/>
    <n v="120680"/>
    <x v="0"/>
  </r>
  <r>
    <x v="81"/>
    <s v="GLIDR"/>
    <n v="0.97740000000000005"/>
    <n v="1.5E-3"/>
    <n v="34660676"/>
    <n v="126253"/>
    <s v="No"/>
    <n v="35460000"/>
    <x v="1"/>
  </r>
  <r>
    <x v="82"/>
    <s v="BACX"/>
    <n v="53.22"/>
    <n v="0"/>
    <n v="34637276"/>
    <n v="261"/>
    <s v="Yes"/>
    <n v="650740"/>
    <x v="0"/>
  </r>
  <r>
    <x v="83"/>
    <s v="VAM"/>
    <n v="0.10150000000000001"/>
    <n v="2.3E-3"/>
    <n v="34482045"/>
    <n v="663357"/>
    <s v="No"/>
    <n v="339710000"/>
    <x v="1"/>
  </r>
  <r>
    <x v="84"/>
    <s v="WMTX"/>
    <n v="4.0300000000000002E-2"/>
    <n v="5.0000000000000001E-3"/>
    <n v="34371708"/>
    <n v="3227641"/>
    <s v="No"/>
    <n v="851870000"/>
    <x v="1"/>
  </r>
  <r>
    <x v="85"/>
    <s v="AEUR"/>
    <n v="1.1499999999999999"/>
    <n v="0"/>
    <n v="34343871"/>
    <n v="2365"/>
    <s v="No"/>
    <n v="29820000"/>
    <x v="1"/>
  </r>
  <r>
    <x v="86"/>
    <s v="MRVLon"/>
    <n v="270.39999999999998"/>
    <n v="3.3E-3"/>
    <n v="34210168"/>
    <n v="6613197"/>
    <s v="No"/>
    <n v="126510"/>
    <x v="0"/>
  </r>
  <r>
    <x v="87"/>
    <s v="AVNT"/>
    <n v="0.1036"/>
    <n v="3.0999999999999999E-3"/>
    <n v="33577284"/>
    <n v="17174665"/>
    <s v="No"/>
    <n v="323950000"/>
    <x v="1"/>
  </r>
  <r>
    <x v="88"/>
    <s v="DBR"/>
    <n v="1.43E-2"/>
    <n v="7.1000000000000004E-3"/>
    <n v="27447371"/>
    <n v="10114476"/>
    <s v="Yes"/>
    <n v="1920000000"/>
    <x v="1"/>
  </r>
  <r>
    <x v="89"/>
    <s v="COTI"/>
    <n v="9.5999999999999992E-3"/>
    <n v="1.4E-3"/>
    <n v="27409112"/>
    <n v="7348247"/>
    <s v="Yes"/>
    <n v="2860000000"/>
    <x v="1"/>
  </r>
  <r>
    <x v="90"/>
    <s v="CLO"/>
    <n v="0.21240000000000001"/>
    <n v="3.3399999999999999E-2"/>
    <n v="27426748"/>
    <n v="20181798"/>
    <s v="Yes"/>
    <n v="129100000"/>
    <x v="1"/>
  </r>
  <r>
    <x v="91"/>
    <s v="BORA"/>
    <n v="2.4899999999999999E-2"/>
    <n v="2.2000000000000001E-3"/>
    <n v="27414034"/>
    <n v="717113"/>
    <s v="Yes"/>
    <n v="1090000000"/>
    <x v="1"/>
  </r>
  <r>
    <x v="92"/>
    <s v="POWR"/>
    <n v="4.82E-2"/>
    <n v="2E-3"/>
    <n v="27358116"/>
    <n v="5196628"/>
    <s v="No"/>
    <n v="568130000"/>
    <x v="1"/>
  </r>
  <r>
    <x v="93"/>
    <s v="SHX"/>
    <n v="4.7000000000000002E-3"/>
    <n v="5.9999999999999995E-4"/>
    <n v="27336631"/>
    <n v="1141715"/>
    <s v="No"/>
    <n v="5790000000"/>
    <x v="1"/>
  </r>
  <r>
    <x v="94"/>
    <s v="SLVon"/>
    <n v="61.39"/>
    <n v="1E-4"/>
    <n v="27206164"/>
    <n v="5734871"/>
    <s v="No"/>
    <n v="443100"/>
    <x v="0"/>
  </r>
  <r>
    <x v="95"/>
    <s v="REZ"/>
    <n v="3.2000000000000002E-3"/>
    <n v="1.0200000000000001E-2"/>
    <n v="27190071"/>
    <n v="7967459"/>
    <s v="Yes"/>
    <n v="8550000000.000001"/>
    <x v="1"/>
  </r>
  <r>
    <x v="96"/>
    <s v="IOST"/>
    <n v="8.0000000000000004E-4"/>
    <n v="3.0000000000000001E-3"/>
    <n v="26972615"/>
    <n v="8526974"/>
    <s v="No"/>
    <n v="33430000000"/>
    <x v="1"/>
  </r>
  <r>
    <x v="97"/>
    <s v="PARTI"/>
    <n v="4.9599999999999998E-2"/>
    <n v="1.6000000000000001E-3"/>
    <n v="26758957"/>
    <n v="33446308"/>
    <s v="No"/>
    <n v="538940000"/>
    <x v="1"/>
  </r>
  <r>
    <x v="98"/>
    <s v="SKL"/>
    <n v="4.3E-3"/>
    <n v="1.6000000000000001E-3"/>
    <n v="26557553"/>
    <n v="11262750"/>
    <s v="No"/>
    <n v="6190000000"/>
    <x v="1"/>
  </r>
  <r>
    <x v="99"/>
    <s v="MVL"/>
    <n v="1E-3"/>
    <n v="1E-4"/>
    <n v="26632085"/>
    <n v="162930"/>
    <s v="No"/>
    <n v="27800000000"/>
    <x v="1"/>
  </r>
  <r>
    <x v="100"/>
    <s v="PEOPLE"/>
    <n v="5.1999999999999998E-3"/>
    <n v="5.3E-3"/>
    <n v="26477518"/>
    <n v="14910110"/>
    <s v="Yes"/>
    <n v="5060000000"/>
    <x v="1"/>
  </r>
  <r>
    <x v="101"/>
    <s v="NEIRO"/>
    <n v="1E-4"/>
    <n v="8.3000000000000001E-3"/>
    <n v="26409629"/>
    <n v="20499571"/>
    <s v="Yes"/>
    <n v="420680000000"/>
    <x v="1"/>
  </r>
  <r>
    <x v="102"/>
    <s v="PHA"/>
    <n v="3.1399999999999997E-2"/>
    <n v="3.5000000000000001E-3"/>
    <n v="26372850"/>
    <n v="29507980"/>
    <s v="Yes"/>
    <n v="839600000"/>
    <x v="1"/>
  </r>
  <r>
    <x v="103"/>
    <s v="MLK"/>
    <n v="3.6700000000000003E-2"/>
    <n v="3.3999999999999998E-3"/>
    <n v="20326153"/>
    <n v="10935053"/>
    <s v="No"/>
    <n v="553470000"/>
    <x v="1"/>
  </r>
  <r>
    <x v="104"/>
    <s v="LSK"/>
    <n v="9.3100000000000002E-2"/>
    <n v="9.7999999999999997E-3"/>
    <n v="20417450"/>
    <n v="5942228"/>
    <s v="No"/>
    <n v="219280000"/>
    <x v="1"/>
  </r>
  <r>
    <x v="105"/>
    <s v="CTSI"/>
    <n v="2.1999999999999999E-2"/>
    <n v="6.3E-3"/>
    <n v="20405058"/>
    <n v="1649753"/>
    <s v="Yes"/>
    <n v="925570000"/>
    <x v="1"/>
  </r>
  <r>
    <x v="106"/>
    <s v="SIGN"/>
    <n v="8.8000000000000005E-3"/>
    <n v="8.9999999999999993E-3"/>
    <n v="20204618"/>
    <n v="5619700"/>
    <s v="Yes"/>
    <n v="2300000000"/>
    <x v="1"/>
  </r>
  <r>
    <x v="107"/>
    <s v="QANX"/>
    <n v="1.12E-2"/>
    <n v="3.0999999999999999E-3"/>
    <n v="20143761"/>
    <n v="190635"/>
    <s v="No"/>
    <n v="1790000000"/>
    <x v="1"/>
  </r>
  <r>
    <x v="108"/>
    <s v="DOGS"/>
    <n v="0"/>
    <n v="5.7999999999999996E-3"/>
    <n v="19985403"/>
    <n v="9122261"/>
    <s v="Yes"/>
    <n v="516750000000"/>
    <x v="1"/>
  </r>
  <r>
    <x v="109"/>
    <s v="TRUTH"/>
    <n v="9.5999999999999992E-3"/>
    <n v="4.1000000000000003E-3"/>
    <n v="19987317"/>
    <n v="2678643"/>
    <s v="No"/>
    <n v="2080000000"/>
    <x v="1"/>
  </r>
  <r>
    <x v="110"/>
    <s v="CTK"/>
    <n v="0.1246"/>
    <n v="2.8999999999999998E-3"/>
    <n v="19938291"/>
    <n v="1304831"/>
    <s v="No"/>
    <n v="160000000"/>
    <x v="1"/>
  </r>
  <r>
    <x v="111"/>
    <s v="SATS"/>
    <n v="8.9399999999999993E-2"/>
    <n v="7.3000000000000001E-3"/>
    <n v="19724997"/>
    <n v="6369318"/>
    <s v="Yes"/>
    <m/>
    <x v="1"/>
  </r>
  <r>
    <x v="112"/>
    <s v="SENTIS"/>
    <n v="9.5299999999999996E-2"/>
    <n v="5.3E-3"/>
    <n v="19671495"/>
    <n v="3521775"/>
    <s v="Yes"/>
    <n v="206480000"/>
    <x v="1"/>
  </r>
  <r>
    <x v="113"/>
    <s v="BREV"/>
    <n v="7.8600000000000003E-2"/>
    <n v="2.2000000000000001E-3"/>
    <n v="19644485"/>
    <n v="17968849"/>
    <s v="No"/>
    <n v="250000000"/>
    <x v="1"/>
  </r>
  <r>
    <x v="114"/>
    <s v="GCB"/>
    <n v="1.6299999999999999E-2"/>
    <n v="2.0000000000000001E-4"/>
    <n v="19608820"/>
    <n v="587"/>
    <s v="Yes"/>
    <n v="1200000000"/>
    <x v="1"/>
  </r>
  <r>
    <x v="115"/>
    <s v="BLAST"/>
    <n v="2.9999999999999997E-4"/>
    <n v="2.0999999999999999E-3"/>
    <n v="19539309"/>
    <n v="4105623"/>
    <s v="No"/>
    <n v="62850000000"/>
    <x v="1"/>
  </r>
  <r>
    <x v="116"/>
    <s v="PMT"/>
    <n v="0.1074"/>
    <n v="3.0000000000000001E-3"/>
    <n v="19557870"/>
    <n v="292241"/>
    <s v="Yes"/>
    <n v="181980000"/>
    <x v="1"/>
  </r>
  <r>
    <x v="117"/>
    <s v="WXT"/>
    <n v="2E-3"/>
    <n v="3.0999999999999999E-3"/>
    <n v="19503399"/>
    <n v="298211"/>
    <s v="No"/>
    <n v="10000000000"/>
    <x v="1"/>
  </r>
  <r>
    <x v="118"/>
    <s v="DIA"/>
    <n v="0.12470000000000001"/>
    <n v="8.0000000000000004E-4"/>
    <n v="14925074"/>
    <n v="6722721"/>
    <s v="No"/>
    <n v="119670000"/>
    <x v="1"/>
  </r>
  <r>
    <x v="119"/>
    <s v="AOP"/>
    <n v="3.3399999999999999E-2"/>
    <n v="1.4E-3"/>
    <n v="14897239"/>
    <n v="1487247"/>
    <s v="No"/>
    <n v="445330000"/>
    <x v="1"/>
  </r>
  <r>
    <x v="120"/>
    <s v="CHR"/>
    <n v="1.5299999999999999E-2"/>
    <n v="1.4E-3"/>
    <n v="14890542"/>
    <n v="3496389"/>
    <s v="No"/>
    <n v="974830000"/>
    <x v="1"/>
  </r>
  <r>
    <x v="121"/>
    <s v="ADS"/>
    <n v="0.38379999999999997"/>
    <n v="6.9999999999999999E-4"/>
    <n v="14873557"/>
    <n v="276017"/>
    <s v="No"/>
    <n v="38740000"/>
    <x v="1"/>
  </r>
  <r>
    <x v="122"/>
    <s v="DORA"/>
    <n v="1.4999999999999999E-2"/>
    <n v="2.0000000000000001E-4"/>
    <n v="14833009"/>
    <n v="317570"/>
    <s v="Yes"/>
    <n v="990080000"/>
    <x v="1"/>
  </r>
  <r>
    <x v="123"/>
    <s v="XSGD"/>
    <n v="0.77349999999999997"/>
    <n v="2.0000000000000001E-4"/>
    <n v="14799300"/>
    <n v="584771"/>
    <s v="Yes"/>
    <n v="19130000"/>
    <x v="1"/>
  </r>
  <r>
    <x v="124"/>
    <s v="MOVR"/>
    <n v="1.22"/>
    <n v="1.9E-3"/>
    <n v="14720066"/>
    <n v="5079060"/>
    <s v="No"/>
    <n v="12050000"/>
    <x v="1"/>
  </r>
  <r>
    <x v="125"/>
    <s v="BTRST"/>
    <n v="6.0999999999999999E-2"/>
    <n v="1.1000000000000001E-3"/>
    <n v="14733125"/>
    <n v="43424"/>
    <s v="Yes"/>
    <n v="241340000"/>
    <x v="1"/>
  </r>
  <r>
    <x v="126"/>
    <s v="EDEN"/>
    <n v="3.9300000000000002E-2"/>
    <n v="3.3E-3"/>
    <n v="14772184"/>
    <n v="9672793"/>
    <s v="Yes"/>
    <n v="376130000"/>
    <x v="1"/>
  </r>
  <r>
    <x v="127"/>
    <s v="USDM"/>
    <n v="0.99929999999999997"/>
    <n v="4.4000000000000003E-3"/>
    <n v="14656962"/>
    <n v="2444956"/>
    <s v="Yes"/>
    <n v="14660000"/>
    <x v="1"/>
  </r>
  <r>
    <x v="128"/>
    <s v="ORDER"/>
    <n v="3.7600000000000001E-2"/>
    <n v="9.1999999999999998E-3"/>
    <n v="14598411"/>
    <n v="7529695"/>
    <s v="No"/>
    <n v="388750000"/>
    <x v="1"/>
  </r>
  <r>
    <x v="129"/>
    <s v="BASED"/>
    <n v="6.2100000000000002E-2"/>
    <n v="5.4999999999999997E-3"/>
    <n v="14592444"/>
    <n v="26677895"/>
    <s v="Yes"/>
    <n v="235000000"/>
    <x v="1"/>
  </r>
  <r>
    <x v="130"/>
    <s v="SLND"/>
    <n v="0.1452"/>
    <n v="4.0000000000000002E-4"/>
    <n v="14526085"/>
    <n v="421"/>
    <s v="No"/>
    <n v="100000000"/>
    <x v="1"/>
  </r>
  <r>
    <x v="131"/>
    <s v="ISLM"/>
    <n v="6.6E-3"/>
    <n v="4.0000000000000002E-4"/>
    <n v="14515905"/>
    <n v="22436"/>
    <s v="No"/>
    <n v="2180000000"/>
    <x v="1"/>
  </r>
  <r>
    <x v="132"/>
    <s v="ACU"/>
    <n v="6.6600000000000006E-2"/>
    <n v="7.3000000000000001E-3"/>
    <n v="14454094"/>
    <n v="4178483"/>
    <s v="No"/>
    <n v="217000000"/>
    <x v="1"/>
  </r>
  <r>
    <x v="133"/>
    <s v="HMSTR"/>
    <n v="2.0000000000000001E-4"/>
    <n v="3.7900000000000003E-2"/>
    <n v="11503225"/>
    <n v="20158304"/>
    <s v="Yes"/>
    <n v="64370000000.000008"/>
    <x v="1"/>
  </r>
  <r>
    <x v="134"/>
    <s v="LUMIA"/>
    <n v="8.1000000000000003E-2"/>
    <n v="1.2999999999999999E-3"/>
    <n v="11411815"/>
    <n v="2338940"/>
    <s v="No"/>
    <n v="140840000"/>
    <x v="1"/>
  </r>
  <r>
    <x v="135"/>
    <s v="VELO"/>
    <n v="1.2500000000000001E-2"/>
    <n v="7.0000000000000001E-3"/>
    <n v="11409466"/>
    <n v="4656295"/>
    <s v="No"/>
    <n v="915200000"/>
    <x v="1"/>
  </r>
  <r>
    <x v="136"/>
    <s v="ELSA"/>
    <n v="4.4400000000000002E-2"/>
    <n v="4.7000000000000002E-3"/>
    <n v="11358145"/>
    <n v="7546892"/>
    <s v="No"/>
    <n v="255640000"/>
    <x v="1"/>
  </r>
  <r>
    <x v="137"/>
    <s v="TIPon"/>
    <n v="112.74"/>
    <n v="8.0000000000000004E-4"/>
    <n v="11296373"/>
    <n v="523823"/>
    <s v="Yes"/>
    <n v="100190"/>
    <x v="0"/>
  </r>
  <r>
    <x v="138"/>
    <s v="OGN"/>
    <n v="1.7000000000000001E-2"/>
    <n v="2.3E-3"/>
    <n v="11289173"/>
    <n v="1811450"/>
    <s v="Yes"/>
    <n v="664010000"/>
    <x v="1"/>
  </r>
  <r>
    <x v="139"/>
    <s v="FAR"/>
    <n v="2.3E-3"/>
    <n v="0"/>
    <n v="11211988"/>
    <n v="125431"/>
    <s v="No"/>
    <n v="4830000000"/>
    <x v="1"/>
  </r>
  <r>
    <x v="140"/>
    <s v="PROMPT"/>
    <n v="2.4199999999999999E-2"/>
    <n v="1.03E-2"/>
    <n v="11175592"/>
    <n v="5818093"/>
    <s v="Yes"/>
    <n v="462370000"/>
    <x v="1"/>
  </r>
  <r>
    <x v="141"/>
    <s v="SDEX"/>
    <n v="1.1000000000000001E-3"/>
    <n v="0"/>
    <n v="11146264"/>
    <n v="401488"/>
    <s v="Yes"/>
    <n v="9800000000"/>
    <x v="1"/>
  </r>
  <r>
    <x v="142"/>
    <s v="WAN"/>
    <n v="5.6000000000000001E-2"/>
    <n v="1.5599999999999999E-2"/>
    <n v="11139126"/>
    <n v="5611958"/>
    <s v="No"/>
    <n v="198950000"/>
    <x v="1"/>
  </r>
  <r>
    <x v="143"/>
    <s v="BLEND"/>
    <n v="5.5800000000000002E-2"/>
    <n v="1.12E-2"/>
    <n v="11158832"/>
    <n v="24535332"/>
    <s v="No"/>
    <n v="200000000"/>
    <x v="1"/>
  </r>
  <r>
    <x v="144"/>
    <s v="MWXT"/>
    <n v="6.6199999999999995E-2"/>
    <n v="3.8E-3"/>
    <n v="11117508"/>
    <n v="466868"/>
    <s v="No"/>
    <n v="167840000"/>
    <x v="1"/>
  </r>
  <r>
    <x v="145"/>
    <s v="AURA"/>
    <n v="1.15E-2"/>
    <n v="8.6E-3"/>
    <n v="11112982"/>
    <n v="1047391"/>
    <s v="No"/>
    <n v="963280000"/>
    <x v="1"/>
  </r>
  <r>
    <x v="146"/>
    <s v="CAT"/>
    <n v="5.1499999999999997E-2"/>
    <n v="8.8000000000000005E-3"/>
    <n v="11103572"/>
    <n v="3083581"/>
    <s v="Yes"/>
    <n v="7560000000000"/>
    <x v="1"/>
  </r>
  <r>
    <x v="147"/>
    <s v="L3"/>
    <n v="7.1000000000000004E-3"/>
    <n v="1.9E-2"/>
    <n v="8793079"/>
    <n v="5621560"/>
    <s v="Yes"/>
    <n v="1230000000"/>
    <x v="1"/>
  </r>
  <r>
    <x v="148"/>
    <s v="PYR"/>
    <n v="0.19439999999999999"/>
    <n v="1.0699999999999999E-2"/>
    <n v="8794426"/>
    <n v="4788243"/>
    <s v="Yes"/>
    <n v="45230000"/>
    <x v="1"/>
  </r>
  <r>
    <x v="149"/>
    <s v="ACE"/>
    <n v="8.5999999999999993E-2"/>
    <n v="8.3000000000000001E-3"/>
    <n v="8751283"/>
    <n v="62576912"/>
    <s v="No"/>
    <n v="101730000"/>
    <x v="1"/>
  </r>
  <r>
    <x v="150"/>
    <s v="HAEDAL"/>
    <n v="2.06E-2"/>
    <n v="1.7299999999999999E-2"/>
    <n v="8740988"/>
    <n v="7948331"/>
    <s v="No"/>
    <n v="425000000"/>
    <x v="1"/>
  </r>
  <r>
    <x v="151"/>
    <s v="TRUST"/>
    <n v="4.8800000000000003E-2"/>
    <n v="1.12E-2"/>
    <n v="8770259"/>
    <n v="2389955"/>
    <s v="No"/>
    <n v="179640000"/>
    <x v="1"/>
  </r>
  <r>
    <x v="152"/>
    <s v="FHE"/>
    <n v="1.6899999999999998E-2"/>
    <n v="2.0799999999999999E-2"/>
    <n v="8734559"/>
    <n v="5690255"/>
    <s v="Yes"/>
    <n v="517210000.00000006"/>
    <x v="1"/>
  </r>
  <r>
    <x v="153"/>
    <s v="THE"/>
    <n v="6.5799999999999997E-2"/>
    <n v="6.7000000000000002E-3"/>
    <n v="8726562"/>
    <n v="5788007"/>
    <s v="No"/>
    <n v="132610000.00000001"/>
    <x v="1"/>
  </r>
  <r>
    <x v="154"/>
    <s v="HEI"/>
    <n v="0.1002"/>
    <n v="9.9000000000000008E-3"/>
    <n v="8846993"/>
    <n v="39800165"/>
    <s v="No"/>
    <n v="88240000"/>
    <x v="1"/>
  </r>
  <r>
    <x v="155"/>
    <s v="ANTHROPIC"/>
    <n v="899.55"/>
    <n v="6.3E-3"/>
    <n v="8595164"/>
    <n v="307802"/>
    <s v="No"/>
    <n v="9550"/>
    <x v="0"/>
  </r>
  <r>
    <x v="156"/>
    <s v="XU3O8"/>
    <n v="5.34"/>
    <n v="1E-4"/>
    <n v="8547463"/>
    <n v="713174"/>
    <s v="Yes"/>
    <n v="1600000"/>
    <x v="1"/>
  </r>
  <r>
    <x v="157"/>
    <s v="TGC"/>
    <n v="0.11070000000000001"/>
    <n v="1.6500000000000001E-2"/>
    <n v="8524268"/>
    <n v="29287"/>
    <s v="Yes"/>
    <n v="76990000"/>
    <x v="1"/>
  </r>
  <r>
    <x v="158"/>
    <s v="PBTC"/>
    <n v="0.43880000000000002"/>
    <n v="2.8999999999999998E-3"/>
    <n v="8474846"/>
    <n v="125236"/>
    <s v="No"/>
    <n v="19310000"/>
    <x v="1"/>
  </r>
  <r>
    <x v="159"/>
    <s v="ALCX"/>
    <n v="3.36"/>
    <n v="6.1999999999999998E-3"/>
    <n v="8490917"/>
    <n v="1312642"/>
    <s v="Yes"/>
    <n v="2520000"/>
    <x v="1"/>
  </r>
  <r>
    <x v="160"/>
    <s v="TUT"/>
    <n v="0.01"/>
    <n v="1.0800000000000001E-2"/>
    <n v="8350740"/>
    <n v="13913684"/>
    <s v="No"/>
    <n v="835270000"/>
    <x v="1"/>
  </r>
  <r>
    <x v="161"/>
    <s v="4"/>
    <n v="8.3999999999999995E-3"/>
    <n v="8.6999999999999994E-3"/>
    <n v="8363116"/>
    <n v="7297130"/>
    <s v="Yes"/>
    <n v="1000000000"/>
    <x v="1"/>
  </r>
  <r>
    <x v="162"/>
    <s v="BGSC"/>
    <n v="6.9999999999999999E-4"/>
    <n v="6.1999999999999998E-3"/>
    <n v="6448383"/>
    <n v="485717"/>
    <s v="Yes"/>
    <n v="9320000000"/>
    <x v="1"/>
  </r>
  <r>
    <x v="163"/>
    <s v="GTC"/>
    <n v="7.3300000000000004E-2"/>
    <n v="3.0999999999999999E-3"/>
    <n v="6415469"/>
    <n v="5112067"/>
    <s v="No"/>
    <n v="87490000"/>
    <x v="1"/>
  </r>
  <r>
    <x v="164"/>
    <s v="AMO"/>
    <n v="2.9999999999999997E-4"/>
    <n v="0"/>
    <n v="6404757"/>
    <n v="29171"/>
    <s v="No"/>
    <n v="21200000000"/>
    <x v="1"/>
  </r>
  <r>
    <x v="165"/>
    <s v="OXYon"/>
    <n v="57.43"/>
    <n v="1.6000000000000001E-3"/>
    <n v="6399426"/>
    <n v="1168478"/>
    <s v="No"/>
    <n v="111410"/>
    <x v="0"/>
  </r>
  <r>
    <x v="166"/>
    <s v="FIGHT"/>
    <n v="3.0999999999999999E-3"/>
    <n v="1.5900000000000001E-2"/>
    <n v="6417718"/>
    <n v="3626628"/>
    <s v="Yes"/>
    <n v="2049999999.9999998"/>
    <x v="1"/>
  </r>
  <r>
    <x v="167"/>
    <s v="OGY"/>
    <n v="8.0000000000000004E-4"/>
    <n v="2.0000000000000001E-4"/>
    <n v="6388227"/>
    <n v="215386"/>
    <s v="No"/>
    <n v="7820000000"/>
    <x v="1"/>
  </r>
  <r>
    <x v="168"/>
    <s v="SAVE"/>
    <n v="0.13980000000000001"/>
    <n v="5.0000000000000001E-4"/>
    <n v="6386513"/>
    <n v="824"/>
    <s v="No"/>
    <n v="45660000"/>
    <x v="1"/>
  </r>
  <r>
    <x v="169"/>
    <s v="GRIN"/>
    <n v="2.7400000000000001E-2"/>
    <n v="2.3999999999999998E-3"/>
    <n v="6375652"/>
    <n v="6397"/>
    <s v="Yes"/>
    <n v="232490000"/>
    <x v="1"/>
  </r>
  <r>
    <x v="170"/>
    <s v="BKN"/>
    <n v="7.85E-2"/>
    <n v="5.0000000000000001E-4"/>
    <n v="6329637"/>
    <n v="118991"/>
    <s v="Yes"/>
    <n v="80650000"/>
    <x v="1"/>
  </r>
  <r>
    <x v="171"/>
    <s v="APU"/>
    <n v="0"/>
    <n v="4.0000000000000001E-3"/>
    <n v="6318371"/>
    <n v="224602"/>
    <s v="Yes"/>
    <n v="337880000000"/>
    <x v="1"/>
  </r>
  <r>
    <x v="172"/>
    <s v="BTR"/>
    <n v="1.9E-2"/>
    <n v="4.3700000000000003E-2"/>
    <n v="6337889"/>
    <n v="2664811"/>
    <s v="No"/>
    <n v="333280000"/>
    <x v="1"/>
  </r>
  <r>
    <x v="173"/>
    <s v="RESOLV"/>
    <n v="1.6400000000000001E-2"/>
    <n v="7.7999999999999996E-3"/>
    <n v="6309198"/>
    <n v="8594550"/>
    <s v="Yes"/>
    <n v="385180000"/>
    <x v="1"/>
  </r>
  <r>
    <x v="174"/>
    <s v="NIZA"/>
    <n v="3.8999999999999998E-3"/>
    <n v="1.4E-3"/>
    <n v="6311340"/>
    <n v="228048"/>
    <s v="No"/>
    <n v="1610000000"/>
    <x v="1"/>
  </r>
  <r>
    <x v="175"/>
    <s v="MAVIA"/>
    <n v="2.5499999999999998E-2"/>
    <n v="1.4800000000000001E-2"/>
    <n v="6306281"/>
    <n v="1184339"/>
    <s v="Yes"/>
    <n v="246960000"/>
    <x v="1"/>
  </r>
  <r>
    <x v="176"/>
    <s v="SPACEX"/>
    <n v="715.16"/>
    <n v="1E-3"/>
    <n v="6252612"/>
    <n v="429359"/>
    <s v="Yes"/>
    <n v="8740"/>
    <x v="0"/>
  </r>
  <r>
    <x v="177"/>
    <s v="JUV"/>
    <n v="0.32790000000000002"/>
    <n v="2.0999999999999999E-3"/>
    <n v="5103175"/>
    <n v="8590627"/>
    <s v="Yes"/>
    <n v="15560000"/>
    <x v="1"/>
  </r>
  <r>
    <x v="178"/>
    <s v="CITY"/>
    <n v="0.37830000000000003"/>
    <n v="2.0199999999999999E-2"/>
    <n v="5101302"/>
    <n v="6658670"/>
    <s v="Yes"/>
    <n v="13480000"/>
    <x v="1"/>
  </r>
  <r>
    <x v="179"/>
    <s v="NOBODY"/>
    <n v="5.4000000000000003E-3"/>
    <n v="8.0999999999999996E-3"/>
    <n v="5072302"/>
    <n v="490438"/>
    <s v="No"/>
    <n v="936060000"/>
    <x v="1"/>
  </r>
  <r>
    <x v="180"/>
    <s v="SPARKLET"/>
    <n v="1.9E-2"/>
    <n v="2.9999999999999997E-4"/>
    <n v="5063868"/>
    <n v="164930"/>
    <s v="Yes"/>
    <n v="267140000"/>
    <x v="1"/>
  </r>
  <r>
    <x v="181"/>
    <s v="雪球"/>
    <n v="8.8999999999999999E-3"/>
    <n v="8.3999999999999995E-3"/>
    <n v="5001116"/>
    <n v="169770"/>
    <s v="No"/>
    <n v="561040000"/>
    <x v="1"/>
  </r>
  <r>
    <x v="182"/>
    <s v="ALTSZN"/>
    <n v="5.0000000000000001E-3"/>
    <n v="4.48E-2"/>
    <n v="4963366"/>
    <n v="2738594"/>
    <s v="Yes"/>
    <n v="999960000"/>
    <x v="1"/>
  </r>
  <r>
    <x v="183"/>
    <s v="PKOIN"/>
    <n v="0.35610000000000003"/>
    <n v="0"/>
    <n v="4959267"/>
    <n v="40175"/>
    <s v="Yes"/>
    <n v="13920000"/>
    <x v="1"/>
  </r>
  <r>
    <x v="184"/>
    <s v="NOM"/>
    <n v="1.6999999999999999E-3"/>
    <n v="5.4000000000000003E-3"/>
    <n v="4946179"/>
    <n v="12375480"/>
    <s v="Yes"/>
    <n v="2900000000"/>
    <x v="1"/>
  </r>
  <r>
    <x v="185"/>
    <s v="USDR"/>
    <n v="0.7026"/>
    <n v="1.18E-2"/>
    <n v="4931501"/>
    <n v="24261"/>
    <s v="No"/>
    <n v="7010000"/>
    <x v="1"/>
  </r>
  <r>
    <x v="186"/>
    <s v="ANON"/>
    <n v="0.35560000000000003"/>
    <n v="4.0000000000000002E-4"/>
    <n v="4929814"/>
    <n v="584219"/>
    <s v="No"/>
    <n v="13850000"/>
    <x v="1"/>
  </r>
  <r>
    <x v="187"/>
    <s v="LLYon"/>
    <n v="1127.72"/>
    <n v="8.9999999999999998E-4"/>
    <n v="4912670"/>
    <n v="3519520"/>
    <s v="No"/>
    <n v="4350"/>
    <x v="0"/>
  </r>
  <r>
    <x v="188"/>
    <s v="MIM"/>
    <n v="2.0000000000000001E-4"/>
    <n v="3.8E-3"/>
    <n v="4905997"/>
    <n v="64300"/>
    <s v="No"/>
    <n v="21000000000"/>
    <x v="1"/>
  </r>
  <r>
    <x v="189"/>
    <s v="SOLV"/>
    <n v="3.3E-3"/>
    <n v="2.8999999999999998E-3"/>
    <n v="4896055"/>
    <n v="7528812"/>
    <s v="No"/>
    <n v="1480000000"/>
    <x v="1"/>
  </r>
  <r>
    <x v="190"/>
    <s v="NFP"/>
    <n v="8.3000000000000001E-3"/>
    <n v="3.2500000000000001E-2"/>
    <n v="4876890"/>
    <n v="38307907"/>
    <s v="No"/>
    <n v="585640000"/>
    <x v="1"/>
  </r>
  <r>
    <x v="191"/>
    <s v="STRIKE"/>
    <n v="1.89E-2"/>
    <n v="1.9400000000000001E-2"/>
    <n v="3976367"/>
    <n v="217259"/>
    <s v="No"/>
    <n v="209900000"/>
    <x v="1"/>
  </r>
  <r>
    <x v="192"/>
    <s v="KLV"/>
    <n v="4.0000000000000002E-4"/>
    <n v="7.7499999999999999E-2"/>
    <n v="3972245"/>
    <n v="378834"/>
    <s v="No"/>
    <n v="8880000000"/>
    <x v="1"/>
  </r>
  <r>
    <x v="193"/>
    <s v="MBOX"/>
    <n v="7.1999999999999998E-3"/>
    <n v="1.4999999999999999E-2"/>
    <n v="3974558"/>
    <n v="32371110"/>
    <s v="Yes"/>
    <n v="550320000"/>
    <x v="1"/>
  </r>
  <r>
    <x v="194"/>
    <s v="BTX"/>
    <n v="1.7600000000000001E-2"/>
    <n v="4.0000000000000002E-4"/>
    <n v="3967959"/>
    <n v="852975"/>
    <s v="Yes"/>
    <n v="224750000"/>
    <x v="1"/>
  </r>
  <r>
    <x v="195"/>
    <s v="SWELL"/>
    <n v="8.0000000000000004E-4"/>
    <n v="7.6E-3"/>
    <n v="3941581"/>
    <n v="8521023"/>
    <s v="No"/>
    <n v="4810000000"/>
    <x v="1"/>
  </r>
  <r>
    <x v="196"/>
    <s v="IHC"/>
    <n v="0"/>
    <n v="2.3E-3"/>
    <n v="3919929"/>
    <n v="6403"/>
    <s v="No"/>
    <n v="119640000000"/>
    <x v="1"/>
  </r>
  <r>
    <x v="197"/>
    <s v="PUSS"/>
    <n v="4.4000000000000003E-3"/>
    <n v="8.0000000000000004E-4"/>
    <n v="3905453"/>
    <n v="995138"/>
    <s v="No"/>
    <n v="878820000"/>
    <x v="1"/>
  </r>
  <r>
    <x v="198"/>
    <s v="MANYU"/>
    <n v="8.3900000000000002E-2"/>
    <n v="5.9999999999999995E-4"/>
    <n v="3884725"/>
    <n v="2597815"/>
    <s v="Yes"/>
    <m/>
    <x v="1"/>
  </r>
  <r>
    <x v="199"/>
    <s v="BLZ"/>
    <n v="8.2000000000000007E-3"/>
    <n v="7.1000000000000004E-3"/>
    <n v="3882095"/>
    <n v="207968"/>
    <s v="No"/>
    <n v="471420000"/>
    <x v="1"/>
  </r>
  <r>
    <x v="200"/>
    <s v="PTB"/>
    <n v="5.9999999999999995E-4"/>
    <n v="1.7500000000000002E-2"/>
    <n v="3869077"/>
    <n v="1872715"/>
    <s v="Yes"/>
    <n v="6830000000"/>
    <x v="1"/>
  </r>
  <r>
    <x v="201"/>
    <s v="AFC"/>
    <n v="0.17349999999999999"/>
    <n v="4.3E-3"/>
    <n v="3878272"/>
    <n v="1740419"/>
    <s v="No"/>
    <n v="22340000"/>
    <x v="1"/>
  </r>
  <r>
    <x v="202"/>
    <s v="HOODon"/>
    <n v="80.25"/>
    <n v="4.3E-3"/>
    <n v="3861791"/>
    <n v="2343933"/>
    <s v="Yes"/>
    <n v="48110"/>
    <x v="0"/>
  </r>
  <r>
    <x v="203"/>
    <s v="UBT"/>
    <n v="2.5700000000000001E-2"/>
    <n v="9.5999999999999992E-3"/>
    <n v="3856893"/>
    <n v="1776"/>
    <s v="Yes"/>
    <n v="149990000"/>
    <x v="1"/>
  </r>
  <r>
    <x v="204"/>
    <s v="$PURPE"/>
    <n v="5.9200000000000003E-2"/>
    <n v="1.5E-3"/>
    <n v="3856893"/>
    <n v="401875"/>
    <s v="No"/>
    <n v="417210000000"/>
    <x v="1"/>
  </r>
  <r>
    <x v="205"/>
    <s v="EAT"/>
    <n v="1.4500000000000001E-2"/>
    <n v="1.4E-3"/>
    <n v="3083850"/>
    <n v="182797"/>
    <s v="Yes"/>
    <n v="213140000"/>
    <x v="1"/>
  </r>
  <r>
    <x v="206"/>
    <s v="DEOD"/>
    <n v="6.6E-3"/>
    <n v="2.5999999999999999E-3"/>
    <n v="3064880"/>
    <n v="302690"/>
    <s v="Yes"/>
    <n v="464390000"/>
    <x v="1"/>
  </r>
  <r>
    <x v="207"/>
    <s v="GHST"/>
    <n v="5.8099999999999999E-2"/>
    <n v="2.9999999999999997E-4"/>
    <n v="3063211"/>
    <n v="217674"/>
    <s v="Yes"/>
    <n v="52740000"/>
    <x v="1"/>
  </r>
  <r>
    <x v="208"/>
    <s v="ZEX"/>
    <n v="1.6199999999999999E-2"/>
    <n v="1.1999999999999999E-3"/>
    <n v="3045908"/>
    <n v="51982"/>
    <s v="Yes"/>
    <n v="187760000"/>
    <x v="1"/>
  </r>
  <r>
    <x v="209"/>
    <s v="ARENA"/>
    <n v="5.0000000000000001E-4"/>
    <n v="7.9000000000000008E-3"/>
    <n v="3038724"/>
    <n v="34550"/>
    <s v="No"/>
    <n v="5980000000"/>
    <x v="1"/>
  </r>
  <r>
    <x v="210"/>
    <s v="NODL"/>
    <n v="5.0000000000000001E-4"/>
    <n v="1.6299999999999999E-2"/>
    <n v="3045265"/>
    <n v="97858"/>
    <s v="No"/>
    <n v="6070000000"/>
    <x v="1"/>
  </r>
  <r>
    <x v="211"/>
    <s v="SHIDO"/>
    <n v="1E-4"/>
    <n v="1.0500000000000001E-2"/>
    <n v="3030258"/>
    <n v="91287"/>
    <s v="No"/>
    <n v="23470000000"/>
    <x v="1"/>
  </r>
  <r>
    <x v="212"/>
    <s v="IJHon"/>
    <n v="74.599999999999994"/>
    <n v="2.8999999999999998E-3"/>
    <n v="3022812"/>
    <n v="758633"/>
    <s v="No"/>
    <n v="40510"/>
    <x v="0"/>
  </r>
  <r>
    <x v="213"/>
    <s v="DMTR"/>
    <n v="6.1999999999999998E-3"/>
    <n v="1.5E-3"/>
    <n v="3017236"/>
    <n v="164804"/>
    <s v="Yes"/>
    <n v="486500000"/>
    <x v="1"/>
  </r>
  <r>
    <x v="214"/>
    <s v="OBT"/>
    <n v="5.0000000000000001E-4"/>
    <n v="1.7000000000000001E-2"/>
    <n v="3007470"/>
    <n v="3201669"/>
    <s v="No"/>
    <n v="5500000000"/>
    <x v="1"/>
  </r>
  <r>
    <x v="215"/>
    <s v="CTA"/>
    <n v="6.0000000000000001E-3"/>
    <n v="3.5099999999999999E-2"/>
    <n v="3006189"/>
    <n v="120681"/>
    <s v="Yes"/>
    <n v="500000000"/>
    <x v="1"/>
  </r>
  <r>
    <x v="216"/>
    <s v="DRGN"/>
    <n v="8.0999999999999996E-3"/>
    <n v="4.0000000000000002E-4"/>
    <n v="2987092"/>
    <n v="1"/>
    <s v="Yes"/>
    <n v="370770000"/>
    <x v="1"/>
  </r>
  <r>
    <x v="217"/>
    <s v="COLS"/>
    <n v="3.8999999999999998E-3"/>
    <n v="2.5999999999999999E-3"/>
    <n v="2984414"/>
    <n v="1315722"/>
    <s v="Yes"/>
    <n v="766340000"/>
    <x v="1"/>
  </r>
  <r>
    <x v="218"/>
    <s v="PEIPEI"/>
    <n v="8.7099999999999997E-2"/>
    <n v="0.1454"/>
    <n v="2982813"/>
    <n v="368122"/>
    <s v="Yes"/>
    <n v="420680000000000"/>
    <x v="1"/>
  </r>
  <r>
    <x v="219"/>
    <s v="QST"/>
    <n v="3.0999999999999999E-3"/>
    <n v="2.7199999999999998E-2"/>
    <n v="2354870"/>
    <n v="59813"/>
    <s v="No"/>
    <n v="751510000"/>
    <x v="1"/>
  </r>
  <r>
    <x v="220"/>
    <s v="VFY"/>
    <n v="6.4000000000000003E-3"/>
    <n v="4.0000000000000002E-4"/>
    <n v="2346526"/>
    <n v="559825"/>
    <s v="No"/>
    <n v="368630000"/>
    <x v="1"/>
  </r>
  <r>
    <x v="221"/>
    <s v="EAT"/>
    <n v="2.0000000000000001E-4"/>
    <n v="1E-3"/>
    <n v="2337459"/>
    <n v="433406"/>
    <s v="No"/>
    <n v="10260000000"/>
    <x v="1"/>
  </r>
  <r>
    <x v="222"/>
    <s v="FOXSY"/>
    <n v="2.0999999999999999E-3"/>
    <n v="7.1000000000000004E-3"/>
    <n v="2336239"/>
    <n v="237806"/>
    <s v="Yes"/>
    <n v="1130000000"/>
    <x v="1"/>
  </r>
  <r>
    <x v="223"/>
    <s v="ADP"/>
    <n v="5.0000000000000001E-4"/>
    <n v="9.5999999999999992E-3"/>
    <n v="2312857"/>
    <n v="48313"/>
    <s v="No"/>
    <n v="4680000000"/>
    <x v="1"/>
  </r>
  <r>
    <x v="224"/>
    <s v="Q"/>
    <n v="6.13E-2"/>
    <n v="1E-4"/>
    <n v="2320829"/>
    <n v="239"/>
    <s v="No"/>
    <n v="18410000000000"/>
    <x v="1"/>
  </r>
  <r>
    <x v="225"/>
    <s v="PAIN"/>
    <n v="0.46160000000000001"/>
    <n v="1E-4"/>
    <n v="2308183"/>
    <n v="7901"/>
    <s v="Yes"/>
    <n v="4990000"/>
    <x v="1"/>
  </r>
  <r>
    <x v="226"/>
    <s v="DRX"/>
    <n v="3.5000000000000001E-3"/>
    <n v="3.3799999999999997E-2"/>
    <n v="2308047"/>
    <n v="17602"/>
    <s v="Yes"/>
    <n v="664000000"/>
    <x v="1"/>
  </r>
  <r>
    <x v="227"/>
    <s v="KIBSHI"/>
    <n v="5.2299999999999999E-2"/>
    <n v="1.1900000000000001E-2"/>
    <n v="2302202"/>
    <n v="676198"/>
    <s v="Yes"/>
    <n v="1000000000000"/>
    <x v="1"/>
  </r>
  <r>
    <x v="228"/>
    <s v="REAL"/>
    <n v="2.3E-3"/>
    <n v="2.8999999999999998E-3"/>
    <n v="2293012"/>
    <n v="359670"/>
    <s v="No"/>
    <n v="995210000"/>
    <x v="1"/>
  </r>
  <r>
    <x v="229"/>
    <s v="BEE"/>
    <n v="1.3100000000000001E-2"/>
    <n v="4.0000000000000002E-4"/>
    <n v="2272812"/>
    <n v="12078"/>
    <s v="No"/>
    <n v="173820000"/>
    <x v="1"/>
  </r>
  <r>
    <x v="230"/>
    <s v="EPT"/>
    <n v="5.0000000000000001E-4"/>
    <n v="2.9999999999999997E-4"/>
    <n v="2270858"/>
    <n v="1316156"/>
    <s v="No"/>
    <n v="4219999999.9999995"/>
    <x v="1"/>
  </r>
  <r>
    <x v="231"/>
    <s v="PEPon"/>
    <n v="146.13999999999999"/>
    <n v="1.8E-3"/>
    <n v="2262957"/>
    <n v="1825127"/>
    <s v="No"/>
    <n v="15480"/>
    <x v="0"/>
  </r>
  <r>
    <x v="232"/>
    <s v="BABYASTEROID"/>
    <n v="8.43E-2"/>
    <n v="3.7999999999999999E-2"/>
    <n v="1806964"/>
    <n v="101991"/>
    <s v="No"/>
    <n v="420000000000000"/>
    <x v="1"/>
  </r>
  <r>
    <x v="233"/>
    <s v="RARI"/>
    <n v="9.2700000000000005E-2"/>
    <n v="2.8999999999999998E-3"/>
    <n v="1806691"/>
    <n v="276756"/>
    <s v="Yes"/>
    <n v="19480000"/>
    <x v="1"/>
  </r>
  <r>
    <x v="234"/>
    <s v="Von"/>
    <n v="325.76"/>
    <n v="0"/>
    <n v="1791774"/>
    <n v="876284"/>
    <s v="No"/>
    <n v="5500"/>
    <x v="0"/>
  </r>
  <r>
    <x v="235"/>
    <s v="MANEKI"/>
    <n v="2.0000000000000001E-4"/>
    <n v="1.09E-2"/>
    <n v="1786533"/>
    <n v="332122"/>
    <s v="No"/>
    <n v="8850000000"/>
    <x v="1"/>
  </r>
  <r>
    <x v="236"/>
    <s v="FANC"/>
    <n v="1E-3"/>
    <n v="4.7999999999999996E-3"/>
    <n v="1782399"/>
    <n v="81591"/>
    <s v="No"/>
    <n v="1820000000"/>
    <x v="1"/>
  </r>
  <r>
    <x v="237"/>
    <s v="JWT"/>
    <n v="1.26"/>
    <n v="2.0000000000000001E-4"/>
    <n v="1774937"/>
    <n v="66401"/>
    <s v="No"/>
    <n v="1400000"/>
    <x v="1"/>
  </r>
  <r>
    <x v="238"/>
    <s v="AZERO"/>
    <n v="6.6E-3"/>
    <n v="1.24E-2"/>
    <n v="1768062"/>
    <n v="119060"/>
    <s v="No"/>
    <n v="266769999.99999997"/>
    <x v="1"/>
  </r>
  <r>
    <x v="239"/>
    <s v="TROLL"/>
    <n v="8.1799999999999998E-2"/>
    <n v="2.0000000000000001E-4"/>
    <n v="1764315"/>
    <n v="115914"/>
    <s v="No"/>
    <n v="960420000000000"/>
    <x v="1"/>
  </r>
  <r>
    <x v="240"/>
    <s v="BLKon"/>
    <n v="1013.86"/>
    <n v="0"/>
    <n v="1763126"/>
    <n v="821507"/>
    <s v="No"/>
    <n v="1730"/>
    <x v="0"/>
  </r>
  <r>
    <x v="241"/>
    <s v="ROAM"/>
    <n v="5.0000000000000001E-3"/>
    <n v="5.7000000000000002E-3"/>
    <n v="1760912"/>
    <n v="1784545"/>
    <s v="No"/>
    <n v="351230000"/>
    <x v="1"/>
  </r>
  <r>
    <x v="242"/>
    <s v="EQIXon"/>
    <n v="1094.1099999999999"/>
    <n v="1E-4"/>
    <n v="1760374"/>
    <n v="736049"/>
    <s v="No"/>
    <n v="1600"/>
    <x v="0"/>
  </r>
  <r>
    <x v="243"/>
    <s v="SSLX"/>
    <n v="5.9999999999999995E-4"/>
    <n v="2.0999999999999999E-3"/>
    <n v="1491710"/>
    <n v="188215"/>
    <s v="No"/>
    <n v="2500000000"/>
    <x v="1"/>
  </r>
  <r>
    <x v="244"/>
    <s v="BIDUon"/>
    <n v="121.03"/>
    <n v="0"/>
    <n v="1487510"/>
    <n v="775875"/>
    <s v="No"/>
    <n v="12290"/>
    <x v="0"/>
  </r>
  <r>
    <x v="245"/>
    <s v="MAIGA"/>
    <n v="5.3E-3"/>
    <n v="1.1000000000000001E-3"/>
    <n v="1482423"/>
    <n v="466345"/>
    <s v="No"/>
    <n v="280000000"/>
    <x v="1"/>
  </r>
  <r>
    <x v="246"/>
    <s v="SIGMA"/>
    <n v="1.6000000000000001E-3"/>
    <n v="5.4000000000000003E-3"/>
    <n v="1481390"/>
    <n v="838166"/>
    <s v="No"/>
    <n v="899840000"/>
    <x v="1"/>
  </r>
  <r>
    <x v="247"/>
    <s v="NIKO"/>
    <n v="1.5E-3"/>
    <n v="1.41E-2"/>
    <n v="1477054"/>
    <n v="1398"/>
    <s v="No"/>
    <n v="1000000000"/>
    <x v="1"/>
  </r>
  <r>
    <x v="248"/>
    <s v="IMPT"/>
    <n v="1E-3"/>
    <n v="2.5999999999999999E-3"/>
    <n v="1472643"/>
    <n v="290891"/>
    <s v="No"/>
    <n v="1420000000"/>
    <x v="1"/>
  </r>
  <r>
    <x v="249"/>
    <s v="FITFI"/>
    <n v="2.9999999999999997E-4"/>
    <n v="5.8400000000000001E-2"/>
    <n v="1498720"/>
    <n v="2985093"/>
    <s v="No"/>
    <n v="4570000000"/>
    <x v="1"/>
  </r>
  <r>
    <x v="250"/>
    <s v="CRP"/>
    <n v="0.14000000000000001"/>
    <n v="4.4999999999999997E-3"/>
    <n v="1470106"/>
    <n v="190009"/>
    <s v="Yes"/>
    <n v="10490000"/>
    <x v="1"/>
  </r>
  <r>
    <x v="251"/>
    <s v="NIBI"/>
    <n v="1.5E-3"/>
    <n v="2.0999999999999999E-3"/>
    <n v="1469571"/>
    <n v="425763"/>
    <s v="Yes"/>
    <n v="1000000000"/>
    <x v="1"/>
  </r>
  <r>
    <x v="252"/>
    <s v="KYVE"/>
    <n v="1.1999999999999999E-3"/>
    <n v="1.6999999999999999E-3"/>
    <n v="1466425"/>
    <n v="1731"/>
    <s v="No"/>
    <n v="1190000000"/>
    <x v="1"/>
  </r>
  <r>
    <x v="253"/>
    <s v="CUDIS"/>
    <n v="5.8999999999999999E-3"/>
    <n v="2.7000000000000001E-3"/>
    <n v="1460651"/>
    <n v="6219371"/>
    <s v="No"/>
    <n v="247500000"/>
    <x v="1"/>
  </r>
  <r>
    <x v="254"/>
    <s v="DF"/>
    <n v="1.5E-3"/>
    <n v="0"/>
    <n v="1459321"/>
    <n v="21459"/>
    <s v="Yes"/>
    <n v="999920000"/>
    <x v="1"/>
  </r>
  <r>
    <x v="255"/>
    <s v="BILLY"/>
    <n v="1.5E-3"/>
    <n v="2.41E-2"/>
    <n v="1458904"/>
    <n v="6471"/>
    <s v="No"/>
    <n v="1000000000"/>
    <x v="1"/>
  </r>
  <r>
    <x v="256"/>
    <s v="FLT"/>
    <n v="4.1999999999999997E-3"/>
    <n v="4.3E-3"/>
    <n v="1207576"/>
    <n v="80143"/>
    <s v="No"/>
    <n v="287730000"/>
    <x v="1"/>
  </r>
  <r>
    <x v="257"/>
    <s v="IMU"/>
    <n v="1.4E-3"/>
    <n v="1.6999999999999999E-3"/>
    <n v="1199325"/>
    <n v="1885566"/>
    <s v="No"/>
    <n v="853380000"/>
    <x v="1"/>
  </r>
  <r>
    <x v="258"/>
    <s v="DOGE"/>
    <n v="1.1999999999999999E-3"/>
    <n v="2.0999999999999999E-3"/>
    <n v="1198549"/>
    <n v="448798"/>
    <s v="No"/>
    <n v="979110000"/>
    <x v="1"/>
  </r>
  <r>
    <x v="259"/>
    <s v="CRMon"/>
    <n v="185.64"/>
    <n v="2.7000000000000001E-3"/>
    <n v="1201141"/>
    <n v="1194229"/>
    <s v="No"/>
    <n v="6470"/>
    <x v="0"/>
  </r>
  <r>
    <x v="260"/>
    <s v="EWYon"/>
    <n v="175.86"/>
    <n v="4.0000000000000002E-4"/>
    <n v="1199600"/>
    <n v="2078773"/>
    <s v="No"/>
    <n v="6820"/>
    <x v="0"/>
  </r>
  <r>
    <x v="261"/>
    <s v="CDL"/>
    <n v="5.8999999999999999E-3"/>
    <n v="6.6E-3"/>
    <n v="1199080"/>
    <n v="128970"/>
    <s v="No"/>
    <n v="204590000"/>
    <x v="1"/>
  </r>
  <r>
    <x v="262"/>
    <s v="AZIT"/>
    <n v="2.8E-3"/>
    <n v="1.54E-2"/>
    <n v="1205707"/>
    <n v="72427"/>
    <s v="No"/>
    <n v="429810000"/>
    <x v="1"/>
  </r>
  <r>
    <x v="263"/>
    <s v="HASHAI"/>
    <n v="0"/>
    <n v="4.0000000000000001E-3"/>
    <n v="1201464"/>
    <n v="81028"/>
    <s v="No"/>
    <n v="84560000000"/>
    <x v="1"/>
  </r>
  <r>
    <x v="264"/>
    <s v="ADM"/>
    <n v="1.0800000000000001E-2"/>
    <n v="2.0000000000000001E-4"/>
    <n v="1198250"/>
    <n v="110464"/>
    <s v="No"/>
    <n v="110370000"/>
    <x v="1"/>
  </r>
  <r>
    <x v="265"/>
    <s v="LITKEY"/>
    <n v="5.4000000000000003E-3"/>
    <n v="7.6E-3"/>
    <n v="1193409"/>
    <n v="2950"/>
    <s v="Yes"/>
    <n v="220000000"/>
    <x v="1"/>
  </r>
  <r>
    <x v="266"/>
    <s v="JDon"/>
    <n v="29.9"/>
    <n v="1.5E-3"/>
    <n v="1186586"/>
    <n v="828027"/>
    <s v="Yes"/>
    <n v="39680"/>
    <x v="1"/>
  </r>
  <r>
    <x v="267"/>
    <s v="LOL"/>
    <n v="1.1999999999999999E-3"/>
    <n v="3.4700000000000002E-2"/>
    <n v="1205156"/>
    <n v="498762"/>
    <s v="Yes"/>
    <n v="992240000"/>
    <x v="1"/>
  </r>
  <r>
    <x v="268"/>
    <s v="ABNBon"/>
    <n v="132.88"/>
    <n v="2.5000000000000001E-3"/>
    <n v="1177696"/>
    <n v="826410"/>
    <s v="No"/>
    <n v="8860"/>
    <x v="0"/>
  </r>
  <r>
    <x v="269"/>
    <s v="SHR"/>
    <n v="2.9999999999999997E-4"/>
    <n v="1.6199999999999999E-2"/>
    <n v="1175672"/>
    <n v="195191"/>
    <s v="Yes"/>
    <n v="3610000000"/>
    <x v="1"/>
  </r>
  <r>
    <x v="270"/>
    <s v="RVF"/>
    <n v="1.4200000000000001E-2"/>
    <n v="1.6799999999999999E-2"/>
    <n v="1172258"/>
    <n v="10037"/>
    <s v="Yes"/>
    <n v="82640000"/>
    <x v="1"/>
  </r>
  <r>
    <x v="271"/>
    <s v="STUFF"/>
    <n v="2.9999999999999997E-4"/>
    <n v="4.3E-3"/>
    <n v="972646"/>
    <n v="1749"/>
    <s v="Yes"/>
    <n v="3340000000"/>
    <x v="1"/>
  </r>
  <r>
    <x v="272"/>
    <s v="BEB1M"/>
    <n v="1E-3"/>
    <n v="3.8999999999999998E-3"/>
    <n v="970789"/>
    <n v="17169"/>
    <s v="Yes"/>
    <n v="999720000"/>
    <x v="1"/>
  </r>
  <r>
    <x v="273"/>
    <s v="TRUU"/>
    <n v="1E-4"/>
    <n v="2.9999999999999997E-4"/>
    <n v="969523"/>
    <n v="158921"/>
    <s v="Yes"/>
    <n v="12140000000"/>
    <x v="1"/>
  </r>
  <r>
    <x v="274"/>
    <s v="CaptainBNB"/>
    <n v="1.1000000000000001E-3"/>
    <n v="0.31359999999999999"/>
    <n v="969081"/>
    <n v="75946"/>
    <s v="Yes"/>
    <n v="864090000"/>
    <x v="1"/>
  </r>
  <r>
    <x v="275"/>
    <s v="WAR"/>
    <n v="1E-3"/>
    <n v="3.8399999999999997E-2"/>
    <n v="975625"/>
    <n v="931081"/>
    <s v="Yes"/>
    <n v="1000000000"/>
    <x v="1"/>
  </r>
  <r>
    <x v="276"/>
    <s v="STARL"/>
    <n v="7.9600000000000004E-2"/>
    <n v="9.5999999999999992E-3"/>
    <n v="961236"/>
    <n v="3285"/>
    <s v="Yes"/>
    <n v="9970000000000"/>
    <x v="1"/>
  </r>
  <r>
    <x v="277"/>
    <s v="ATR"/>
    <n v="8.0000000000000004E-4"/>
    <n v="3.3999999999999998E-3"/>
    <n v="958689"/>
    <n v="219377"/>
    <s v="Yes"/>
    <n v="1260000000"/>
    <x v="1"/>
  </r>
  <r>
    <x v="278"/>
    <s v="NTX"/>
    <n v="1.9E-3"/>
    <n v="1.8E-3"/>
    <n v="958512"/>
    <n v="79241"/>
    <s v="Yes"/>
    <n v="504080000"/>
    <x v="1"/>
  </r>
  <r>
    <x v="279"/>
    <s v="UNCX"/>
    <n v="20.47"/>
    <n v="0"/>
    <n v="954786"/>
    <n v="240"/>
    <s v="Yes"/>
    <n v="46640"/>
    <x v="1"/>
  </r>
  <r>
    <x v="280"/>
    <s v="PUSH"/>
    <n v="1.06E-2"/>
    <n v="2.8E-3"/>
    <n v="952933"/>
    <n v="253285"/>
    <s v="Yes"/>
    <n v="90230000"/>
    <x v="1"/>
  </r>
  <r>
    <x v="281"/>
    <s v="STRCon"/>
    <n v="93.97"/>
    <n v="1E-4"/>
    <n v="949515"/>
    <n v="317545"/>
    <s v="Yes"/>
    <n v="10100"/>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2">
  <r>
    <x v="0"/>
    <s v="CMC20"/>
    <n v="122.28"/>
    <n v="0"/>
    <n v="12717729"/>
    <n v="5017104"/>
    <s v="Yes"/>
    <n v="104000"/>
    <n v="122.28"/>
    <n v="0"/>
    <x v="0"/>
  </r>
  <r>
    <x v="1"/>
    <s v="BTC"/>
    <n v="60968.85"/>
    <n v="5.9999999999999995E-4"/>
    <n v="1222307110742"/>
    <n v="67558459644"/>
    <s v="Yes"/>
    <n v="20030000"/>
    <n v="60932.290625624628"/>
    <n v="36.55937437537068"/>
    <x v="0"/>
  </r>
  <r>
    <x v="2"/>
    <s v="ETH"/>
    <n v="1573.61"/>
    <n v="1.2999999999999999E-3"/>
    <n v="189809648557"/>
    <n v="36178864935"/>
    <s v="Yes"/>
    <n v="120680000"/>
    <n v="1571.5669629481672"/>
    <n v="2.0430370518326981"/>
    <x v="0"/>
  </r>
  <r>
    <x v="3"/>
    <s v="USDT"/>
    <n v="0.99929999999999997"/>
    <n v="1E-4"/>
    <n v="187016155521"/>
    <n v="128822587010"/>
    <s v="No"/>
    <n v="187110000000"/>
    <n v="0.99920007999200078"/>
    <n v="9.9920007999187987E-5"/>
    <x v="1"/>
  </r>
  <r>
    <x v="4"/>
    <s v="BNB"/>
    <n v="578.54"/>
    <n v="3.5000000000000001E-3"/>
    <n v="77889548635"/>
    <n v="2533998725"/>
    <s v="Yes"/>
    <n v="134780000"/>
    <n v="576.52217239661184"/>
    <n v="2.0178276033881275"/>
    <x v="0"/>
  </r>
  <r>
    <x v="5"/>
    <s v="USDC"/>
    <n v="0.99960000000000004"/>
    <n v="1E-4"/>
    <n v="75523419769"/>
    <n v="22902529346"/>
    <s v="No"/>
    <n v="75550000000"/>
    <n v="0.99950004999500053"/>
    <n v="9.9950004999516118E-5"/>
    <x v="1"/>
  </r>
  <r>
    <x v="6"/>
    <s v="XRP"/>
    <n v="1.0900000000000001"/>
    <n v="2.3999999999999998E-3"/>
    <n v="67738003484"/>
    <n v="3848897507"/>
    <s v="Yes"/>
    <n v="62050000000"/>
    <n v="1.0873902633679171"/>
    <n v="2.6097366320829707E-3"/>
    <x v="1"/>
  </r>
  <r>
    <x v="7"/>
    <s v="SOL"/>
    <n v="62.84"/>
    <n v="6.9999999999999999E-4"/>
    <n v="36358851579"/>
    <n v="5356898486"/>
    <s v="No"/>
    <n v="578550000"/>
    <n v="62.796042770060964"/>
    <n v="4.3957229939039166E-2"/>
    <x v="0"/>
  </r>
  <r>
    <x v="8"/>
    <s v="TRX"/>
    <n v="0.32100000000000001"/>
    <n v="8.0000000000000004E-4"/>
    <n v="30438649541"/>
    <n v="947082968"/>
    <s v="No"/>
    <n v="94810000000"/>
    <n v="0.32074340527577944"/>
    <n v="2.5659472422057128E-4"/>
    <x v="1"/>
  </r>
  <r>
    <x v="9"/>
    <s v="HYPE"/>
    <n v="59.86"/>
    <n v="1.03E-2"/>
    <n v="15164710261"/>
    <n v="1291024158"/>
    <s v="No"/>
    <n v="253320000"/>
    <n v="59.24972780362269"/>
    <n v="0.61027219637730923"/>
    <x v="0"/>
  </r>
  <r>
    <x v="10"/>
    <s v="DOGE"/>
    <n v="8.1100000000000005E-2"/>
    <n v="2.8999999999999998E-3"/>
    <n v="12531182811"/>
    <n v="1790825480"/>
    <s v="Yes"/>
    <n v="154540000000"/>
    <n v="8.0865490078771571E-2"/>
    <n v="2.3450992122843461E-4"/>
    <x v="1"/>
  </r>
  <r>
    <x v="11"/>
    <s v="LEO"/>
    <n v="9.61"/>
    <n v="5.0000000000000001E-4"/>
    <n v="8854268103"/>
    <n v="3832378"/>
    <s v="No"/>
    <n v="920450000"/>
    <n v="9.6051974012993497"/>
    <n v="4.8025987006496962E-3"/>
    <x v="1"/>
  </r>
  <r>
    <x v="12"/>
    <s v="XLM"/>
    <n v="0.19620000000000001"/>
    <n v="5.1999999999999998E-3"/>
    <n v="6619168999"/>
    <n v="916226709"/>
    <s v="Yes"/>
    <n v="33720000000"/>
    <n v="0.1951850378034222"/>
    <n v="1.0149621965778177E-3"/>
    <x v="1"/>
  </r>
  <r>
    <x v="13"/>
    <s v="ZEC"/>
    <n v="383.84"/>
    <n v="3.5099999999999999E-2"/>
    <n v="6413297048"/>
    <n v="3017414794"/>
    <s v="Yes"/>
    <n v="16700000"/>
    <n v="370.82407496860208"/>
    <n v="13.015925031397899"/>
    <x v="0"/>
  </r>
  <r>
    <x v="14"/>
    <s v="CC"/>
    <n v="0.15060000000000001"/>
    <n v="6.6E-3"/>
    <n v="5833576479"/>
    <n v="27162323"/>
    <s v="No"/>
    <n v="38720000000"/>
    <n v="0.14961255712298829"/>
    <n v="9.8744287701171829E-4"/>
    <x v="1"/>
  </r>
  <r>
    <x v="15"/>
    <s v="CRV"/>
    <n v="0.18090000000000001"/>
    <n v="2.5000000000000001E-3"/>
    <n v="273900730"/>
    <n v="64467700"/>
    <s v="No"/>
    <n v="1510000000"/>
    <n v="0.1804488778054863"/>
    <n v="4.5112219451370894E-4"/>
    <x v="1"/>
  </r>
  <r>
    <x v="16"/>
    <s v="TIA"/>
    <n v="0.29780000000000001"/>
    <n v="7.7999999999999996E-3"/>
    <n v="274014139"/>
    <n v="45031935"/>
    <s v="No"/>
    <n v="919930000"/>
    <n v="0.2954951379241913"/>
    <n v="2.3048620758087113E-3"/>
    <x v="1"/>
  </r>
  <r>
    <x v="17"/>
    <s v="SPX"/>
    <n v="0.28610000000000002"/>
    <n v="3.0000000000000001E-3"/>
    <n v="266357437"/>
    <n v="13854074"/>
    <s v="No"/>
    <n v="930990000"/>
    <n v="0.28524426719840484"/>
    <n v="8.5573280159517706E-4"/>
    <x v="1"/>
  </r>
  <r>
    <x v="18"/>
    <s v="NFT"/>
    <n v="6.2700000000000006E-2"/>
    <n v="1.9E-3"/>
    <n v="264481802"/>
    <n v="12531234"/>
    <s v="No"/>
    <n v="990100000000000"/>
    <n v="6.2581095917756263E-2"/>
    <n v="1.189040822437426E-4"/>
    <x v="1"/>
  </r>
  <r>
    <x v="19"/>
    <s v="BTT"/>
    <n v="6.2600000000000003E-2"/>
    <n v="6.1999999999999998E-3"/>
    <n v="261321974"/>
    <n v="11801193"/>
    <s v="Yes"/>
    <n v="987030000000000"/>
    <n v="6.22142715165971E-2"/>
    <n v="3.8572848340290289E-4"/>
    <x v="1"/>
  </r>
  <r>
    <x v="20"/>
    <s v="XTZ"/>
    <n v="0.24060000000000001"/>
    <n v="5.8999999999999999E-3"/>
    <n v="261597532"/>
    <n v="21160459"/>
    <s v="Yes"/>
    <n v="1080000000"/>
    <n v="0.23918878616164629"/>
    <n v="1.4112138383537143E-3"/>
    <x v="1"/>
  </r>
  <r>
    <x v="21"/>
    <s v="CHZ"/>
    <n v="2.4500000000000001E-2"/>
    <n v="6.9999999999999999E-4"/>
    <n v="254959926"/>
    <n v="80182341"/>
    <s v="Yes"/>
    <n v="10390000000"/>
    <n v="2.4482861996602382E-2"/>
    <n v="1.7138003397618867E-5"/>
    <x v="1"/>
  </r>
  <r>
    <x v="22"/>
    <s v="ETHFI"/>
    <n v="0.28649999999999998"/>
    <n v="9.1000000000000004E-3"/>
    <n v="252395264"/>
    <n v="55933141"/>
    <s v="No"/>
    <n v="880660000"/>
    <n v="0.28391636111386381"/>
    <n v="2.5836388861361637E-3"/>
    <x v="1"/>
  </r>
  <r>
    <x v="23"/>
    <s v="IMX"/>
    <n v="0.12540000000000001"/>
    <n v="1E-4"/>
    <n v="250900826"/>
    <n v="24328657"/>
    <s v="Yes"/>
    <n v="2000000000"/>
    <n v="0.12538746125387462"/>
    <n v="1.2538746125390077E-5"/>
    <x v="1"/>
  </r>
  <r>
    <x v="24"/>
    <s v="JTO"/>
    <n v="0.51719999999999999"/>
    <n v="1.5900000000000001E-2"/>
    <n v="248179055"/>
    <n v="48228844"/>
    <s v="Yes"/>
    <n v="479780000"/>
    <n v="0.50910522689241067"/>
    <n v="8.0947731075893259E-3"/>
    <x v="1"/>
  </r>
  <r>
    <x v="25"/>
    <s v="MON"/>
    <n v="2.0899999999999998E-2"/>
    <n v="8.0000000000000004E-4"/>
    <n v="247632562"/>
    <n v="87830456"/>
    <s v="No"/>
    <n v="11820000000"/>
    <n v="2.0883293365307753E-2"/>
    <n v="1.6706634692244954E-5"/>
    <x v="1"/>
  </r>
  <r>
    <x v="26"/>
    <s v="PYTH"/>
    <n v="3.1399999999999997E-2"/>
    <n v="8.5000000000000006E-3"/>
    <n v="247031990"/>
    <n v="13164245"/>
    <s v="No"/>
    <n v="7870000000"/>
    <n v="3.1135349529003469E-2"/>
    <n v="2.6465047099652819E-4"/>
    <x v="1"/>
  </r>
  <r>
    <x v="27"/>
    <s v="ZBCN"/>
    <n v="2.3999999999999998E-3"/>
    <n v="6.1000000000000004E-3"/>
    <n v="243283377"/>
    <n v="12663323"/>
    <s v="Yes"/>
    <n v="99990000000"/>
    <n v="2.3854487625484542E-3"/>
    <n v="1.4551237451545639E-5"/>
    <x v="1"/>
  </r>
  <r>
    <x v="28"/>
    <s v="2Z"/>
    <n v="6.9599999999999995E-2"/>
    <n v="1.6999999999999999E-3"/>
    <n v="241466434"/>
    <n v="7123655"/>
    <s v="No"/>
    <n v="3470000000"/>
    <n v="6.9481880802635509E-2"/>
    <n v="1.1811919736448573E-4"/>
    <x v="1"/>
  </r>
  <r>
    <x v="29"/>
    <s v="GNO"/>
    <n v="90.35"/>
    <n v="2.8E-3"/>
    <n v="238500300"/>
    <n v="8245189"/>
    <s v="No"/>
    <n v="2630000"/>
    <n v="90.097726366174712"/>
    <n v="0.25227363382528267"/>
    <x v="0"/>
  </r>
  <r>
    <x v="30"/>
    <s v="RAIN"/>
    <n v="1.2999999999999999E-2"/>
    <n v="2.0000000000000001E-4"/>
    <n v="8117598746"/>
    <n v="50695389"/>
    <s v="No"/>
    <n v="622640000000"/>
    <n v="1.2997400519896021E-2"/>
    <n v="2.5994801039781051E-6"/>
    <x v="1"/>
  </r>
  <r>
    <x v="31"/>
    <s v="LAB"/>
    <n v="9.32"/>
    <n v="3.4099999999999998E-2"/>
    <n v="2890106122"/>
    <n v="131356485"/>
    <s v="No"/>
    <n v="309950000"/>
    <n v="9.012668020500918"/>
    <n v="0.30733197949908231"/>
    <x v="1"/>
  </r>
  <r>
    <x v="32"/>
    <s v="USDY"/>
    <n v="1.1299999999999999"/>
    <n v="1.6999999999999999E-3"/>
    <n v="2140253880"/>
    <n v="250723"/>
    <s v="Yes"/>
    <n v="1880000000"/>
    <n v="1.1280822601577316"/>
    <n v="1.9177398422682845E-3"/>
    <x v="1"/>
  </r>
  <r>
    <x v="33"/>
    <s v="HTX"/>
    <n v="5.1700000000000003E-2"/>
    <n v="1.1999999999999999E-3"/>
    <n v="1565068927"/>
    <n v="31262065"/>
    <s v="No"/>
    <n v="905700000000000"/>
    <n v="5.1638034358769472E-2"/>
    <n v="6.196564123053111E-5"/>
    <x v="1"/>
  </r>
  <r>
    <x v="34"/>
    <s v="USDf"/>
    <n v="0.99639999999999995"/>
    <n v="5.9999999999999995E-4"/>
    <n v="1297731215"/>
    <n v="3375873"/>
    <s v="No"/>
    <n v="1300000000"/>
    <n v="0.99580251848890666"/>
    <n v="5.9748151109328962E-4"/>
    <x v="1"/>
  </r>
  <r>
    <x v="35"/>
    <s v="CTM"/>
    <n v="0.184"/>
    <n v="3.5000000000000001E-3"/>
    <n v="820728735"/>
    <n v="13299991"/>
    <s v="Yes"/>
    <n v="4450000000"/>
    <n v="0.18335824613851517"/>
    <n v="6.4175386148482283E-4"/>
    <x v="1"/>
  </r>
  <r>
    <x v="36"/>
    <s v="JLP"/>
    <n v="3.21"/>
    <n v="1E-4"/>
    <n v="714715192"/>
    <n v="14229959"/>
    <s v="No"/>
    <n v="221970000"/>
    <n v="3.2096790320967905"/>
    <n v="3.2096790320945701E-4"/>
    <x v="1"/>
  </r>
  <r>
    <x v="37"/>
    <s v="BDX"/>
    <n v="7.8700000000000006E-2"/>
    <n v="5.4000000000000003E-3"/>
    <n v="609084813"/>
    <n v="10007774"/>
    <s v="Yes"/>
    <n v="7730000000"/>
    <n v="7.8277302566142834E-2"/>
    <n v="4.2269743385717207E-4"/>
    <x v="1"/>
  </r>
  <r>
    <x v="38"/>
    <s v="GHO"/>
    <n v="0.99919999999999998"/>
    <n v="4.0000000000000002E-4"/>
    <n v="583570858"/>
    <n v="2244874"/>
    <s v="No"/>
    <n v="584000000"/>
    <n v="0.99880047980807674"/>
    <n v="3.9952019192324162E-4"/>
    <x v="1"/>
  </r>
  <r>
    <x v="39"/>
    <s v="TBLLX"/>
    <n v="105.91"/>
    <n v="0"/>
    <n v="571672236"/>
    <n v="423"/>
    <s v="No"/>
    <n v="5390000"/>
    <n v="105.91"/>
    <n v="0"/>
    <x v="0"/>
  </r>
  <r>
    <x v="40"/>
    <s v="USX"/>
    <n v="1"/>
    <n v="2.9999999999999997E-4"/>
    <n v="491058984"/>
    <n v="312567119"/>
    <s v="No"/>
    <n v="490620000"/>
    <n v="0.99970008997300808"/>
    <n v="2.9991002699192304E-4"/>
    <x v="1"/>
  </r>
  <r>
    <x v="41"/>
    <s v="USDGO"/>
    <n v="1"/>
    <n v="0"/>
    <n v="305808446"/>
    <n v="1874312"/>
    <s v="Yes"/>
    <n v="305800000"/>
    <n v="1"/>
    <n v="0"/>
    <x v="1"/>
  </r>
  <r>
    <x v="42"/>
    <s v="FRAX"/>
    <n v="0.9929"/>
    <n v="0"/>
    <n v="273892137"/>
    <n v="13849236"/>
    <s v="Yes"/>
    <n v="275840000"/>
    <n v="0.9929"/>
    <n v="0"/>
    <x v="1"/>
  </r>
  <r>
    <x v="43"/>
    <s v="KMNO"/>
    <n v="1.4200000000000001E-2"/>
    <n v="6.1000000000000004E-3"/>
    <n v="67643803"/>
    <n v="5138075"/>
    <s v="Yes"/>
    <n v="4770000000"/>
    <n v="1.4113905178411689E-2"/>
    <n v="8.6094821588311374E-5"/>
    <x v="1"/>
  </r>
  <r>
    <x v="44"/>
    <s v="KOX"/>
    <n v="79.25"/>
    <n v="2.0000000000000001E-4"/>
    <n v="67492922"/>
    <n v="1492"/>
    <s v="No"/>
    <n v="851580"/>
    <n v="79.234153169366124"/>
    <n v="1.5846830633876152E-2"/>
    <x v="0"/>
  </r>
  <r>
    <x v="45"/>
    <s v="MY"/>
    <n v="6.8199999999999997E-2"/>
    <n v="1.55E-2"/>
    <n v="67243924"/>
    <n v="204652"/>
    <s v="No"/>
    <n v="986440000"/>
    <n v="6.7159034958148692E-2"/>
    <n v="1.040965041851305E-3"/>
    <x v="1"/>
  </r>
  <r>
    <x v="46"/>
    <s v="IVVon"/>
    <n v="746.2"/>
    <n v="6.9999999999999999E-4"/>
    <n v="66999291"/>
    <n v="1091042"/>
    <s v="Yes"/>
    <n v="89780"/>
    <n v="745.67802538223259"/>
    <n v="0.52197461776745513"/>
    <x v="0"/>
  </r>
  <r>
    <x v="47"/>
    <s v="RVN"/>
    <n v="4.1000000000000003E-3"/>
    <n v="5.8999999999999999E-3"/>
    <n v="66960760"/>
    <n v="10832272"/>
    <s v="No"/>
    <n v="16280000000.000002"/>
    <n v="4.0759518838850784E-3"/>
    <n v="2.4048116114921969E-5"/>
    <x v="1"/>
  </r>
  <r>
    <x v="48"/>
    <s v="BERA"/>
    <n v="0.24160000000000001"/>
    <n v="1.8E-3"/>
    <n v="66707414"/>
    <n v="22230640"/>
    <s v="No"/>
    <n v="276050000"/>
    <n v="0.24116590137752048"/>
    <n v="4.3409862247953401E-4"/>
    <x v="1"/>
  </r>
  <r>
    <x v="49"/>
    <s v="NILA"/>
    <n v="7.8200000000000006E-2"/>
    <n v="5.1999999999999998E-3"/>
    <n v="65908563"/>
    <n v="238851"/>
    <s v="Yes"/>
    <n v="842760000"/>
    <n v="7.7795463589335451E-2"/>
    <n v="4.0453641066455492E-4"/>
    <x v="1"/>
  </r>
  <r>
    <x v="50"/>
    <s v="AIOZ"/>
    <n v="5.2299999999999999E-2"/>
    <n v="1.5E-3"/>
    <n v="65765710"/>
    <n v="5958343"/>
    <s v="No"/>
    <n v="1250000000"/>
    <n v="5.2221667498751866E-2"/>
    <n v="7.8332501248133679E-5"/>
    <x v="1"/>
  </r>
  <r>
    <x v="51"/>
    <s v="DRV"/>
    <n v="8.8999999999999996E-2"/>
    <n v="7.1000000000000004E-3"/>
    <n v="65648698"/>
    <n v="533716"/>
    <s v="No"/>
    <n v="737520000"/>
    <n v="8.8372554860490504E-2"/>
    <n v="6.2744513950949155E-4"/>
    <x v="1"/>
  </r>
  <r>
    <x v="52"/>
    <s v="HUMA"/>
    <n v="2.2599999999999999E-2"/>
    <n v="3.4299999999999997E-2"/>
    <n v="65583008"/>
    <n v="11639267"/>
    <s v="No"/>
    <n v="2890000000"/>
    <n v="2.1850526926423666E-2"/>
    <n v="7.4947307357633303E-4"/>
    <x v="1"/>
  </r>
  <r>
    <x v="53"/>
    <s v="GEOD"/>
    <n v="0.1489"/>
    <n v="3.0000000000000001E-3"/>
    <n v="65371126"/>
    <n v="789243"/>
    <s v="Yes"/>
    <n v="438770000"/>
    <n v="0.14845463609172485"/>
    <n v="4.4536390827515371E-4"/>
    <x v="1"/>
  </r>
  <r>
    <x v="54"/>
    <s v="KSM"/>
    <n v="3.56"/>
    <n v="5.4000000000000003E-3"/>
    <n v="65311608"/>
    <n v="15229544"/>
    <s v="No"/>
    <n v="18310000"/>
    <n v="3.5408792520389891"/>
    <n v="1.9120747961010931E-2"/>
    <x v="1"/>
  </r>
  <r>
    <x v="55"/>
    <s v="CARDS"/>
    <n v="0.16170000000000001"/>
    <n v="9.5999999999999992E-3"/>
    <n v="64581629"/>
    <n v="6074209"/>
    <s v="No"/>
    <n v="399310000"/>
    <n v="0.16016244057052298"/>
    <n v="1.5375594294770312E-3"/>
    <x v="1"/>
  </r>
  <r>
    <x v="56"/>
    <s v="IEMGx"/>
    <n v="80.22"/>
    <n v="0"/>
    <n v="64458178"/>
    <n v="680"/>
    <s v="No"/>
    <n v="803510"/>
    <n v="80.22"/>
    <n v="0"/>
    <x v="0"/>
  </r>
  <r>
    <x v="57"/>
    <s v="PLUME"/>
    <n v="1.12E-2"/>
    <n v="5.4999999999999997E-3"/>
    <n v="64401807"/>
    <n v="24722387"/>
    <s v="Yes"/>
    <n v="5750000000"/>
    <n v="1.1138736946792639E-2"/>
    <n v="6.1263053207361029E-5"/>
    <x v="1"/>
  </r>
  <r>
    <x v="58"/>
    <s v="AXL"/>
    <n v="4.1399999999999999E-2"/>
    <n v="1.8E-3"/>
    <n v="48952469"/>
    <n v="7896120"/>
    <s v="No"/>
    <n v="1180000000"/>
    <n v="4.1325613894989018E-2"/>
    <n v="7.4386105010981751E-5"/>
    <x v="1"/>
  </r>
  <r>
    <x v="59"/>
    <s v="COPXx"/>
    <n v="80.5"/>
    <n v="0"/>
    <n v="48945358"/>
    <n v="380"/>
    <s v="No"/>
    <n v="608010"/>
    <n v="80.5"/>
    <n v="0"/>
    <x v="0"/>
  </r>
  <r>
    <x v="60"/>
    <s v="TQQQX"/>
    <n v="74.400000000000006"/>
    <n v="9.4999999999999998E-3"/>
    <n v="48783089"/>
    <n v="17532"/>
    <s v="No"/>
    <n v="655670"/>
    <n v="73.69985141158989"/>
    <n v="0.70014858841011574"/>
    <x v="0"/>
  </r>
  <r>
    <x v="61"/>
    <s v="OMI"/>
    <n v="2.0000000000000001E-4"/>
    <n v="6.6E-3"/>
    <n v="48767797"/>
    <n v="985843"/>
    <s v="Yes"/>
    <n v="282560000000"/>
    <n v="1.986886548778065E-4"/>
    <n v="1.3113451221935068E-6"/>
    <x v="1"/>
  </r>
  <r>
    <x v="62"/>
    <s v="SUSHI"/>
    <n v="0.1699"/>
    <n v="1.1000000000000001E-3"/>
    <n v="48740328"/>
    <n v="15422449"/>
    <s v="Yes"/>
    <n v="286830000"/>
    <n v="0.16971331535311154"/>
    <n v="1.8668464688845199E-4"/>
    <x v="1"/>
  </r>
  <r>
    <x v="63"/>
    <s v="TONXX"/>
    <n v="3.13"/>
    <n v="0"/>
    <n v="48697028"/>
    <n v="2438"/>
    <s v="No"/>
    <n v="15550000"/>
    <n v="3.13"/>
    <n v="0"/>
    <x v="1"/>
  </r>
  <r>
    <x v="64"/>
    <s v="ASTR"/>
    <n v="5.5999999999999999E-3"/>
    <n v="1.1000000000000001E-3"/>
    <n v="48455448"/>
    <n v="6358343"/>
    <s v="Yes"/>
    <n v="8700000000"/>
    <n v="5.5938467685545893E-3"/>
    <n v="6.153231445410641E-6"/>
    <x v="1"/>
  </r>
  <r>
    <x v="65"/>
    <s v="RON"/>
    <n v="6.2399999999999997E-2"/>
    <n v="1E-4"/>
    <n v="48212985"/>
    <n v="7637657"/>
    <s v="No"/>
    <n v="772400000"/>
    <n v="6.2393760623937602E-2"/>
    <n v="6.2393760623946637E-6"/>
    <x v="1"/>
  </r>
  <r>
    <x v="66"/>
    <s v="CTC"/>
    <n v="8.8700000000000001E-2"/>
    <n v="3.0000000000000001E-3"/>
    <n v="47938768"/>
    <n v="6086708"/>
    <s v="Yes"/>
    <n v="540650000"/>
    <n v="8.8434695912263217E-2"/>
    <n v="2.6530408773678404E-4"/>
    <x v="1"/>
  </r>
  <r>
    <x v="67"/>
    <s v="XAUM"/>
    <n v="4297.6899999999996"/>
    <n v="2.2000000000000001E-3"/>
    <n v="48139273"/>
    <n v="976085"/>
    <s v="No"/>
    <n v="11200"/>
    <n v="4288.2558371582518"/>
    <n v="9.4341628417478205"/>
    <x v="0"/>
  </r>
  <r>
    <x v="68"/>
    <s v="JCT"/>
    <n v="4.1999999999999997E-3"/>
    <n v="1.54E-2"/>
    <n v="48119901"/>
    <n v="5545498"/>
    <s v="No"/>
    <n v="11490000000"/>
    <n v="4.1363009651368913E-3"/>
    <n v="6.3699034863108454E-5"/>
    <x v="1"/>
  </r>
  <r>
    <x v="69"/>
    <s v="ALLO"/>
    <n v="0.23980000000000001"/>
    <n v="4.9399999999999999E-2"/>
    <n v="48090384"/>
    <n v="141536591"/>
    <s v="No"/>
    <n v="200500000"/>
    <n v="0.22851153039832289"/>
    <n v="1.128846960167712E-2"/>
    <x v="1"/>
  </r>
  <r>
    <x v="70"/>
    <s v="SERV"/>
    <n v="6.2199999999999998E-2"/>
    <n v="1.06E-2"/>
    <n v="47866357"/>
    <n v="1720458"/>
    <s v="No"/>
    <n v="770000000"/>
    <n v="6.1547595487829017E-2"/>
    <n v="6.524045121709815E-4"/>
    <x v="1"/>
  </r>
  <r>
    <x v="71"/>
    <s v="IO"/>
    <n v="0.1376"/>
    <n v="5.4999999999999997E-3"/>
    <n v="47690084"/>
    <n v="48669769"/>
    <s v="No"/>
    <n v="346460000"/>
    <n v="0.13684733963202386"/>
    <n v="7.5266036797613789E-4"/>
    <x v="1"/>
  </r>
  <r>
    <x v="72"/>
    <s v="AMP"/>
    <n v="5.0000000000000001E-4"/>
    <n v="6.3E-3"/>
    <n v="47484528"/>
    <n v="8718804"/>
    <s v="No"/>
    <n v="86780000000"/>
    <n v="4.96869720759217E-4"/>
    <n v="3.1302792407830087E-6"/>
    <x v="1"/>
  </r>
  <r>
    <x v="73"/>
    <s v="PROVE"/>
    <n v="0.18240000000000001"/>
    <n v="3.7000000000000002E-3"/>
    <n v="35571971"/>
    <n v="11440117"/>
    <s v="No"/>
    <n v="195000000"/>
    <n v="0.18172760785095149"/>
    <n v="6.7239214904851741E-4"/>
    <x v="1"/>
  </r>
  <r>
    <x v="74"/>
    <s v="CUSD"/>
    <n v="0.99960000000000004"/>
    <n v="5.9999999999999995E-4"/>
    <n v="35541504"/>
    <n v="964372"/>
    <s v="Yes"/>
    <n v="35550000"/>
    <n v="0.99900059964021604"/>
    <n v="5.9940035978400807E-4"/>
    <x v="1"/>
  </r>
  <r>
    <x v="75"/>
    <s v="MEME"/>
    <n v="5.9999999999999995E-4"/>
    <n v="1.9E-3"/>
    <n v="35282668"/>
    <n v="153322722"/>
    <s v="No"/>
    <n v="63510000000"/>
    <n v="5.9886216189240435E-4"/>
    <n v="1.1378381075955986E-6"/>
    <x v="1"/>
  </r>
  <r>
    <x v="76"/>
    <s v="SN51"/>
    <n v="9.2200000000000006"/>
    <n v="9.7000000000000003E-3"/>
    <n v="35242668"/>
    <n v="92643"/>
    <s v="Yes"/>
    <n v="3810000"/>
    <n v="9.1314251757947904"/>
    <n v="8.8574824205210234E-2"/>
    <x v="1"/>
  </r>
  <r>
    <x v="77"/>
    <s v="PEPX"/>
    <n v="145.52000000000001"/>
    <n v="0"/>
    <n v="35190489"/>
    <n v="296"/>
    <s v="No"/>
    <n v="241810"/>
    <n v="145.52000000000001"/>
    <n v="0"/>
    <x v="0"/>
  </r>
  <r>
    <x v="78"/>
    <s v="MASK"/>
    <n v="0.34860000000000002"/>
    <n v="4.7999999999999996E-3"/>
    <n v="34868018"/>
    <n v="24332761"/>
    <s v="No"/>
    <n v="100000000"/>
    <n v="0.34693471337579623"/>
    <n v="1.6652866242037878E-3"/>
    <x v="1"/>
  </r>
  <r>
    <x v="79"/>
    <s v="LUNA"/>
    <n v="4.9099999999999998E-2"/>
    <n v="5.7000000000000002E-3"/>
    <n v="34850619"/>
    <n v="13466730"/>
    <s v="Yes"/>
    <n v="709980000"/>
    <n v="4.8821716217559902E-2"/>
    <n v="2.7828378244009605E-4"/>
    <x v="1"/>
  </r>
  <r>
    <x v="80"/>
    <s v="IBMX"/>
    <n v="287.52999999999997"/>
    <n v="0"/>
    <n v="34702682"/>
    <n v="2098"/>
    <s v="No"/>
    <n v="120680"/>
    <n v="287.52999999999997"/>
    <n v="0"/>
    <x v="0"/>
  </r>
  <r>
    <x v="81"/>
    <s v="GLIDR"/>
    <n v="0.97740000000000005"/>
    <n v="1.5E-3"/>
    <n v="34660676"/>
    <n v="126253"/>
    <s v="No"/>
    <n v="35460000"/>
    <n v="0.97593609585621566"/>
    <n v="1.4639041437843892E-3"/>
    <x v="1"/>
  </r>
  <r>
    <x v="82"/>
    <s v="BACX"/>
    <n v="53.22"/>
    <n v="0"/>
    <n v="34637276"/>
    <n v="261"/>
    <s v="Yes"/>
    <n v="650740"/>
    <n v="53.22"/>
    <n v="0"/>
    <x v="0"/>
  </r>
  <r>
    <x v="83"/>
    <s v="VAM"/>
    <n v="0.10150000000000001"/>
    <n v="2.3E-3"/>
    <n v="34482045"/>
    <n v="663357"/>
    <s v="No"/>
    <n v="339710000"/>
    <n v="0.10126708570288338"/>
    <n v="2.329142971166237E-4"/>
    <x v="1"/>
  </r>
  <r>
    <x v="84"/>
    <s v="WMTX"/>
    <n v="4.0300000000000002E-2"/>
    <n v="5.0000000000000001E-3"/>
    <n v="34371708"/>
    <n v="3227641"/>
    <s v="No"/>
    <n v="851870000"/>
    <n v="4.0099502487562194E-2"/>
    <n v="2.0049751243780833E-4"/>
    <x v="1"/>
  </r>
  <r>
    <x v="85"/>
    <s v="AEUR"/>
    <n v="1.1499999999999999"/>
    <n v="0"/>
    <n v="34343871"/>
    <n v="2365"/>
    <s v="No"/>
    <n v="29820000"/>
    <n v="1.1499999999999999"/>
    <n v="0"/>
    <x v="1"/>
  </r>
  <r>
    <x v="86"/>
    <s v="MRVLon"/>
    <n v="270.39999999999998"/>
    <n v="3.3E-3"/>
    <n v="34210168"/>
    <n v="6613197"/>
    <s v="No"/>
    <n v="126510"/>
    <n v="269.51061497059698"/>
    <n v="0.88938502940300168"/>
    <x v="0"/>
  </r>
  <r>
    <x v="87"/>
    <s v="AVNT"/>
    <n v="0.1036"/>
    <n v="3.0999999999999999E-3"/>
    <n v="33577284"/>
    <n v="17174665"/>
    <s v="No"/>
    <n v="323950000"/>
    <n v="0.1032798325191905"/>
    <n v="3.2016748080949953E-4"/>
    <x v="1"/>
  </r>
  <r>
    <x v="88"/>
    <s v="DBR"/>
    <n v="1.43E-2"/>
    <n v="7.1000000000000004E-3"/>
    <n v="27447371"/>
    <n v="10114476"/>
    <s v="Yes"/>
    <n v="1920000000"/>
    <n v="1.4199185780955217E-2"/>
    <n v="1.0081421904478347E-4"/>
    <x v="1"/>
  </r>
  <r>
    <x v="89"/>
    <s v="COTI"/>
    <n v="9.5999999999999992E-3"/>
    <n v="1.4E-3"/>
    <n v="27409112"/>
    <n v="7348247"/>
    <s v="Yes"/>
    <n v="2860000000"/>
    <n v="9.5865787896944263E-3"/>
    <n v="1.3421210305572875E-5"/>
    <x v="1"/>
  </r>
  <r>
    <x v="90"/>
    <s v="CLO"/>
    <n v="0.21240000000000001"/>
    <n v="3.3399999999999999E-2"/>
    <n v="27426748"/>
    <n v="20181798"/>
    <s v="Yes"/>
    <n v="129100000"/>
    <n v="0.20553512676601507"/>
    <n v="6.8648732339849361E-3"/>
    <x v="1"/>
  </r>
  <r>
    <x v="91"/>
    <s v="BORA"/>
    <n v="2.4899999999999999E-2"/>
    <n v="2.2000000000000001E-3"/>
    <n v="27414034"/>
    <n v="717113"/>
    <s v="Yes"/>
    <n v="1090000000"/>
    <n v="2.4845340251446815E-2"/>
    <n v="5.4659748553183285E-5"/>
    <x v="1"/>
  </r>
  <r>
    <x v="92"/>
    <s v="POWR"/>
    <n v="4.82E-2"/>
    <n v="2E-3"/>
    <n v="27358116"/>
    <n v="5196628"/>
    <s v="No"/>
    <n v="568130000"/>
    <n v="4.8103792415169662E-2"/>
    <n v="9.6207584830337867E-5"/>
    <x v="1"/>
  </r>
  <r>
    <x v="93"/>
    <s v="SHX"/>
    <n v="4.7000000000000002E-3"/>
    <n v="5.9999999999999995E-4"/>
    <n v="27336631"/>
    <n v="1141715"/>
    <s v="No"/>
    <n v="5790000000"/>
    <n v="4.6971816909854094E-3"/>
    <n v="2.8183090145907433E-6"/>
    <x v="1"/>
  </r>
  <r>
    <x v="94"/>
    <s v="SLVon"/>
    <n v="61.39"/>
    <n v="1E-4"/>
    <n v="27206164"/>
    <n v="5734871"/>
    <s v="No"/>
    <n v="443100"/>
    <n v="61.383861613838619"/>
    <n v="6.138386161381959E-3"/>
    <x v="0"/>
  </r>
  <r>
    <x v="95"/>
    <s v="REZ"/>
    <n v="3.2000000000000002E-3"/>
    <n v="1.0200000000000001E-2"/>
    <n v="27190071"/>
    <n v="7967459"/>
    <s v="Yes"/>
    <n v="8550000000.000001"/>
    <n v="3.167689566422491E-3"/>
    <n v="3.2310433577509203E-5"/>
    <x v="1"/>
  </r>
  <r>
    <x v="96"/>
    <s v="IOST"/>
    <n v="8.0000000000000004E-4"/>
    <n v="3.0000000000000001E-3"/>
    <n v="26972615"/>
    <n v="8526974"/>
    <s v="No"/>
    <n v="33430000000"/>
    <n v="7.9760717846460636E-4"/>
    <n v="2.3928215353936824E-6"/>
    <x v="1"/>
  </r>
  <r>
    <x v="97"/>
    <s v="PARTI"/>
    <n v="4.9599999999999998E-2"/>
    <n v="1.6000000000000001E-3"/>
    <n v="26758957"/>
    <n v="33446308"/>
    <s v="No"/>
    <n v="538940000"/>
    <n v="4.9520766773162937E-2"/>
    <n v="7.9233226837061022E-5"/>
    <x v="1"/>
  </r>
  <r>
    <x v="98"/>
    <s v="SKL"/>
    <n v="4.3E-3"/>
    <n v="1.6000000000000001E-3"/>
    <n v="26557553"/>
    <n v="11262750"/>
    <s v="No"/>
    <n v="6190000000"/>
    <n v="4.2931309904153349E-3"/>
    <n v="6.8690095846651519E-6"/>
    <x v="1"/>
  </r>
  <r>
    <x v="99"/>
    <s v="MVL"/>
    <n v="1E-3"/>
    <n v="1E-4"/>
    <n v="26632085"/>
    <n v="162930"/>
    <s v="No"/>
    <n v="27800000000"/>
    <n v="9.9990000999900007E-4"/>
    <n v="9.9990000999947842E-8"/>
    <x v="1"/>
  </r>
  <r>
    <x v="100"/>
    <s v="PEOPLE"/>
    <n v="5.1999999999999998E-3"/>
    <n v="5.3E-3"/>
    <n v="26477518"/>
    <n v="14910110"/>
    <s v="Yes"/>
    <n v="5060000000"/>
    <n v="5.1725852979210181E-3"/>
    <n v="2.7414702078981668E-5"/>
    <x v="1"/>
  </r>
  <r>
    <x v="101"/>
    <s v="NEIRO"/>
    <n v="1E-4"/>
    <n v="8.3000000000000001E-3"/>
    <n v="26409629"/>
    <n v="20499571"/>
    <s v="Yes"/>
    <n v="420680000000"/>
    <n v="9.9176832291976604E-5"/>
    <n v="8.2316770802340117E-7"/>
    <x v="1"/>
  </r>
  <r>
    <x v="102"/>
    <s v="PHA"/>
    <n v="3.1399999999999997E-2"/>
    <n v="3.5000000000000001E-3"/>
    <n v="26372850"/>
    <n v="29507980"/>
    <s v="Yes"/>
    <n v="839600000"/>
    <n v="3.1290483308420526E-2"/>
    <n v="1.0951669157947125E-4"/>
    <x v="1"/>
  </r>
  <r>
    <x v="103"/>
    <s v="MLK"/>
    <n v="3.6700000000000003E-2"/>
    <n v="3.3999999999999998E-3"/>
    <n v="20326153"/>
    <n v="10935053"/>
    <s v="No"/>
    <n v="553470000"/>
    <n v="3.6575642814430938E-2"/>
    <n v="1.2435718556906561E-4"/>
    <x v="1"/>
  </r>
  <r>
    <x v="104"/>
    <s v="LSK"/>
    <n v="9.3100000000000002E-2"/>
    <n v="9.7999999999999997E-3"/>
    <n v="20417450"/>
    <n v="5942228"/>
    <s v="No"/>
    <n v="219280000"/>
    <n v="9.2196474549415722E-2"/>
    <n v="9.0352545058428047E-4"/>
    <x v="1"/>
  </r>
  <r>
    <x v="105"/>
    <s v="CTSI"/>
    <n v="2.1999999999999999E-2"/>
    <n v="6.3E-3"/>
    <n v="20405058"/>
    <n v="1649753"/>
    <s v="Yes"/>
    <n v="925570000"/>
    <n v="2.1862267713405544E-2"/>
    <n v="1.3773228659445455E-4"/>
    <x v="1"/>
  </r>
  <r>
    <x v="106"/>
    <s v="SIGN"/>
    <n v="8.8000000000000005E-3"/>
    <n v="8.9999999999999993E-3"/>
    <n v="20204618"/>
    <n v="5619700"/>
    <s v="Yes"/>
    <n v="2300000000"/>
    <n v="8.721506442021805E-3"/>
    <n v="7.8493557978195558E-5"/>
    <x v="1"/>
  </r>
  <r>
    <x v="107"/>
    <s v="QANX"/>
    <n v="1.12E-2"/>
    <n v="3.0999999999999999E-3"/>
    <n v="20143761"/>
    <n v="190635"/>
    <s v="No"/>
    <n v="1790000000"/>
    <n v="1.1165387299371946E-2"/>
    <n v="3.4612700628053675E-5"/>
    <x v="1"/>
  </r>
  <r>
    <x v="108"/>
    <s v="DOGS"/>
    <n v="0"/>
    <n v="5.7999999999999996E-3"/>
    <n v="19985403"/>
    <n v="9122261"/>
    <s v="Yes"/>
    <n v="516750000000"/>
    <n v="0"/>
    <n v="0"/>
    <x v="1"/>
  </r>
  <r>
    <x v="109"/>
    <s v="TRUTH"/>
    <n v="9.5999999999999992E-3"/>
    <n v="4.1000000000000003E-3"/>
    <n v="19987317"/>
    <n v="2678643"/>
    <s v="No"/>
    <n v="2080000000"/>
    <n v="9.5608007170600532E-3"/>
    <n v="3.9199282939945956E-5"/>
    <x v="1"/>
  </r>
  <r>
    <x v="110"/>
    <s v="CTK"/>
    <n v="0.1246"/>
    <n v="2.8999999999999998E-3"/>
    <n v="19938291"/>
    <n v="1304831"/>
    <s v="No"/>
    <n v="160000000"/>
    <n v="0.12423970485591786"/>
    <n v="3.6029514408214558E-4"/>
    <x v="1"/>
  </r>
  <r>
    <x v="111"/>
    <s v="SATS"/>
    <n v="8.9399999999999993E-2"/>
    <n v="7.3000000000000001E-3"/>
    <n v="19724997"/>
    <n v="6369318"/>
    <s v="Yes"/>
    <m/>
    <n v="8.8752109599920567E-2"/>
    <n v="6.4789040007942611E-4"/>
    <x v="1"/>
  </r>
  <r>
    <x v="112"/>
    <s v="SENTIS"/>
    <n v="9.5299999999999996E-2"/>
    <n v="5.3E-3"/>
    <n v="19671495"/>
    <n v="3521775"/>
    <s v="Yes"/>
    <n v="206480000"/>
    <n v="9.4797572863821733E-2"/>
    <n v="5.0242713617826285E-4"/>
    <x v="1"/>
  </r>
  <r>
    <x v="113"/>
    <s v="BREV"/>
    <n v="7.8600000000000003E-2"/>
    <n v="2.2000000000000001E-3"/>
    <n v="19644485"/>
    <n v="17968849"/>
    <s v="No"/>
    <n v="250000000"/>
    <n v="7.8427459588904416E-2"/>
    <n v="1.7254041109558693E-4"/>
    <x v="1"/>
  </r>
  <r>
    <x v="114"/>
    <s v="GCB"/>
    <n v="1.6299999999999999E-2"/>
    <n v="2.0000000000000001E-4"/>
    <n v="19608820"/>
    <n v="587"/>
    <s v="Yes"/>
    <n v="1200000000"/>
    <n v="1.6296740651869625E-2"/>
    <n v="3.2593481303737348E-6"/>
    <x v="1"/>
  </r>
  <r>
    <x v="115"/>
    <s v="BLAST"/>
    <n v="2.9999999999999997E-4"/>
    <n v="2.0999999999999999E-3"/>
    <n v="19539309"/>
    <n v="4105623"/>
    <s v="No"/>
    <n v="62850000000"/>
    <n v="2.9937132022752217E-4"/>
    <n v="6.2867977247780399E-7"/>
    <x v="1"/>
  </r>
  <r>
    <x v="116"/>
    <s v="PMT"/>
    <n v="0.1074"/>
    <n v="3.0000000000000001E-3"/>
    <n v="19557870"/>
    <n v="292241"/>
    <s v="Yes"/>
    <n v="181980000"/>
    <n v="0.10707876370887338"/>
    <n v="3.2123629112661145E-4"/>
    <x v="1"/>
  </r>
  <r>
    <x v="117"/>
    <s v="WXT"/>
    <n v="2E-3"/>
    <n v="3.0999999999999999E-3"/>
    <n v="19503399"/>
    <n v="298211"/>
    <s v="No"/>
    <n v="10000000000"/>
    <n v="1.9938191606021331E-3"/>
    <n v="6.1808393978669135E-6"/>
    <x v="1"/>
  </r>
  <r>
    <x v="118"/>
    <s v="DIA"/>
    <n v="0.12470000000000001"/>
    <n v="8.0000000000000004E-4"/>
    <n v="14925074"/>
    <n v="6722721"/>
    <s v="No"/>
    <n v="119670000"/>
    <n v="0.12460031974420466"/>
    <n v="9.9680255795348005E-5"/>
    <x v="1"/>
  </r>
  <r>
    <x v="119"/>
    <s v="AOP"/>
    <n v="3.3399999999999999E-2"/>
    <n v="1.4E-3"/>
    <n v="14897239"/>
    <n v="1487247"/>
    <s v="No"/>
    <n v="445330000"/>
    <n v="3.3353305372478527E-2"/>
    <n v="4.6694627521472187E-5"/>
    <x v="1"/>
  </r>
  <r>
    <x v="120"/>
    <s v="CHR"/>
    <n v="1.5299999999999999E-2"/>
    <n v="1.4E-3"/>
    <n v="14890542"/>
    <n v="3496389"/>
    <s v="No"/>
    <n v="974830000"/>
    <n v="1.5278609946075493E-2"/>
    <n v="2.1390053924506824E-5"/>
    <x v="1"/>
  </r>
  <r>
    <x v="121"/>
    <s v="ADS"/>
    <n v="0.38379999999999997"/>
    <n v="6.9999999999999999E-4"/>
    <n v="14873557"/>
    <n v="276017"/>
    <s v="No"/>
    <n v="38740000"/>
    <n v="0.3835315279304487"/>
    <n v="2.6847206955127323E-4"/>
    <x v="1"/>
  </r>
  <r>
    <x v="122"/>
    <s v="DORA"/>
    <n v="1.4999999999999999E-2"/>
    <n v="2.0000000000000001E-4"/>
    <n v="14833009"/>
    <n v="317570"/>
    <s v="Yes"/>
    <n v="990080000"/>
    <n v="1.4997000599880024E-2"/>
    <n v="2.9994001199754039E-6"/>
    <x v="1"/>
  </r>
  <r>
    <x v="123"/>
    <s v="XSGD"/>
    <n v="0.77349999999999997"/>
    <n v="2.0000000000000001E-4"/>
    <n v="14799300"/>
    <n v="584771"/>
    <s v="Yes"/>
    <n v="19130000"/>
    <n v="0.77334533093381319"/>
    <n v="1.5466906618677445E-4"/>
    <x v="1"/>
  </r>
  <r>
    <x v="124"/>
    <s v="MOVR"/>
    <n v="1.22"/>
    <n v="1.9E-3"/>
    <n v="14720066"/>
    <n v="5079060"/>
    <s v="No"/>
    <n v="12050000"/>
    <n v="1.217686395847889"/>
    <n v="2.3136041521110151E-3"/>
    <x v="1"/>
  </r>
  <r>
    <x v="125"/>
    <s v="BTRST"/>
    <n v="6.0999999999999999E-2"/>
    <n v="1.1000000000000001E-3"/>
    <n v="14733125"/>
    <n v="43424"/>
    <s v="Yes"/>
    <n v="241340000"/>
    <n v="6.0932973728898207E-2"/>
    <n v="6.7026271101791601E-5"/>
    <x v="1"/>
  </r>
  <r>
    <x v="126"/>
    <s v="EDEN"/>
    <n v="3.9300000000000002E-2"/>
    <n v="3.3E-3"/>
    <n v="14772184"/>
    <n v="9672793"/>
    <s v="Yes"/>
    <n v="376130000"/>
    <n v="3.9170736569321241E-2"/>
    <n v="1.29263430678761E-4"/>
    <x v="1"/>
  </r>
  <r>
    <x v="127"/>
    <s v="USDM"/>
    <n v="0.99929999999999997"/>
    <n v="4.4000000000000003E-3"/>
    <n v="14656962"/>
    <n v="2444956"/>
    <s v="Yes"/>
    <n v="14660000"/>
    <n v="0.99492234169653526"/>
    <n v="4.3776583034647043E-3"/>
    <x v="1"/>
  </r>
  <r>
    <x v="128"/>
    <s v="ORDER"/>
    <n v="3.7600000000000001E-2"/>
    <n v="9.1999999999999998E-3"/>
    <n v="14598411"/>
    <n v="7529695"/>
    <s v="No"/>
    <n v="388750000"/>
    <n v="3.7257233452239392E-2"/>
    <n v="3.42766547760609E-4"/>
    <x v="1"/>
  </r>
  <r>
    <x v="129"/>
    <s v="BASED"/>
    <n v="6.2100000000000002E-2"/>
    <n v="5.4999999999999997E-3"/>
    <n v="14592444"/>
    <n v="26677895"/>
    <s v="Yes"/>
    <n v="235000000"/>
    <n v="6.176031824962705E-2"/>
    <n v="3.3968175037295267E-4"/>
    <x v="1"/>
  </r>
  <r>
    <x v="130"/>
    <s v="SLND"/>
    <n v="0.1452"/>
    <n v="4.0000000000000002E-4"/>
    <n v="14526085"/>
    <n v="421"/>
    <s v="No"/>
    <n v="100000000"/>
    <n v="0.14514194322271093"/>
    <n v="5.8056777289067218E-5"/>
    <x v="1"/>
  </r>
  <r>
    <x v="131"/>
    <s v="ISLM"/>
    <n v="6.6E-3"/>
    <n v="4.0000000000000002E-4"/>
    <n v="14515905"/>
    <n v="22436"/>
    <s v="No"/>
    <n v="2180000000"/>
    <n v="6.5973610555777693E-3"/>
    <n v="2.6389444222306435E-6"/>
    <x v="1"/>
  </r>
  <r>
    <x v="132"/>
    <s v="ACU"/>
    <n v="6.6600000000000006E-2"/>
    <n v="7.3000000000000001E-3"/>
    <n v="14454094"/>
    <n v="4178483"/>
    <s v="No"/>
    <n v="217000000"/>
    <n v="6.611734339322943E-2"/>
    <n v="4.826566067705762E-4"/>
    <x v="1"/>
  </r>
  <r>
    <x v="133"/>
    <s v="HMSTR"/>
    <n v="2.0000000000000001E-4"/>
    <n v="3.7900000000000003E-2"/>
    <n v="11503225"/>
    <n v="20158304"/>
    <s v="Yes"/>
    <n v="64370000000.000008"/>
    <n v="1.9269679159841988E-4"/>
    <n v="7.3032084015801262E-6"/>
    <x v="1"/>
  </r>
  <r>
    <x v="134"/>
    <s v="LUMIA"/>
    <n v="8.1000000000000003E-2"/>
    <n v="1.2999999999999999E-3"/>
    <n v="11411815"/>
    <n v="2338940"/>
    <s v="No"/>
    <n v="140840000"/>
    <n v="8.0894836712274043E-2"/>
    <n v="1.0516328772595951E-4"/>
    <x v="1"/>
  </r>
  <r>
    <x v="135"/>
    <s v="VELO"/>
    <n v="1.2500000000000001E-2"/>
    <n v="7.0000000000000001E-3"/>
    <n v="11409466"/>
    <n v="4656295"/>
    <s v="No"/>
    <n v="915200000"/>
    <n v="1.2413108242303876E-2"/>
    <n v="8.6891757696124991E-5"/>
    <x v="1"/>
  </r>
  <r>
    <x v="136"/>
    <s v="ELSA"/>
    <n v="4.4400000000000002E-2"/>
    <n v="4.7000000000000002E-3"/>
    <n v="11358145"/>
    <n v="7546892"/>
    <s v="No"/>
    <n v="255640000"/>
    <n v="4.4192296207823237E-2"/>
    <n v="2.0770379217676521E-4"/>
    <x v="1"/>
  </r>
  <r>
    <x v="137"/>
    <s v="TIPon"/>
    <n v="112.74"/>
    <n v="8.0000000000000004E-4"/>
    <n v="11296373"/>
    <n v="523823"/>
    <s v="Yes"/>
    <n v="100190"/>
    <n v="112.64988009592327"/>
    <n v="9.011990407672954E-2"/>
    <x v="0"/>
  </r>
  <r>
    <x v="138"/>
    <s v="OGN"/>
    <n v="1.7000000000000001E-2"/>
    <n v="2.3E-3"/>
    <n v="11289173"/>
    <n v="1811450"/>
    <s v="Yes"/>
    <n v="664010000"/>
    <n v="1.696098972363564E-2"/>
    <n v="3.9010276364360996E-5"/>
    <x v="1"/>
  </r>
  <r>
    <x v="139"/>
    <s v="FAR"/>
    <n v="2.3E-3"/>
    <n v="0"/>
    <n v="11211988"/>
    <n v="125431"/>
    <s v="No"/>
    <n v="4830000000"/>
    <n v="2.3E-3"/>
    <n v="0"/>
    <x v="1"/>
  </r>
  <r>
    <x v="140"/>
    <s v="PROMPT"/>
    <n v="2.4199999999999999E-2"/>
    <n v="1.03E-2"/>
    <n v="11175592"/>
    <n v="5818093"/>
    <s v="Yes"/>
    <n v="462370000"/>
    <n v="2.3953281203602891E-2"/>
    <n v="2.4671879639710792E-4"/>
    <x v="1"/>
  </r>
  <r>
    <x v="141"/>
    <s v="SDEX"/>
    <n v="1.1000000000000001E-3"/>
    <n v="0"/>
    <n v="11146264"/>
    <n v="401488"/>
    <s v="Yes"/>
    <n v="9800000000"/>
    <n v="1.1000000000000001E-3"/>
    <n v="0"/>
    <x v="1"/>
  </r>
  <r>
    <x v="142"/>
    <s v="WAN"/>
    <n v="5.6000000000000001E-2"/>
    <n v="1.5599999999999999E-2"/>
    <n v="11139126"/>
    <n v="5611958"/>
    <s v="No"/>
    <n v="198950000"/>
    <n v="5.513981882630957E-2"/>
    <n v="8.6018117369043162E-4"/>
    <x v="1"/>
  </r>
  <r>
    <x v="143"/>
    <s v="BLEND"/>
    <n v="5.5800000000000002E-2"/>
    <n v="1.12E-2"/>
    <n v="11158832"/>
    <n v="24535332"/>
    <s v="No"/>
    <n v="200000000"/>
    <n v="5.5181962025316451E-2"/>
    <n v="6.1803797468355098E-4"/>
    <x v="1"/>
  </r>
  <r>
    <x v="144"/>
    <s v="MWXT"/>
    <n v="6.6199999999999995E-2"/>
    <n v="3.8E-3"/>
    <n v="11117508"/>
    <n v="466868"/>
    <s v="No"/>
    <n v="167840000"/>
    <n v="6.5949392309224933E-2"/>
    <n v="2.5060769077506206E-4"/>
    <x v="1"/>
  </r>
  <r>
    <x v="145"/>
    <s v="AURA"/>
    <n v="1.15E-2"/>
    <n v="8.6E-3"/>
    <n v="11112982"/>
    <n v="1047391"/>
    <s v="No"/>
    <n v="963280000"/>
    <n v="1.140194328772556E-2"/>
    <n v="9.8056712274439961E-5"/>
    <x v="1"/>
  </r>
  <r>
    <x v="146"/>
    <s v="CAT"/>
    <n v="5.1499999999999997E-2"/>
    <n v="8.8000000000000005E-3"/>
    <n v="11103572"/>
    <n v="3083581"/>
    <s v="Yes"/>
    <n v="7560000000000"/>
    <n v="5.1050753370340998E-2"/>
    <n v="4.4924662965899892E-4"/>
    <x v="1"/>
  </r>
  <r>
    <x v="147"/>
    <s v="L3"/>
    <n v="7.1000000000000004E-3"/>
    <n v="1.9E-2"/>
    <n v="8793079"/>
    <n v="5621560"/>
    <s v="Yes"/>
    <n v="1230000000"/>
    <n v="6.9676153091265958E-3"/>
    <n v="1.3238469087340464E-4"/>
    <x v="1"/>
  </r>
  <r>
    <x v="148"/>
    <s v="PYR"/>
    <n v="0.19439999999999999"/>
    <n v="1.0699999999999999E-2"/>
    <n v="8794426"/>
    <n v="4788243"/>
    <s v="Yes"/>
    <n v="45230000"/>
    <n v="0.19234194122885129"/>
    <n v="2.0580587711487019E-3"/>
    <x v="1"/>
  </r>
  <r>
    <x v="149"/>
    <s v="ACE"/>
    <n v="8.5999999999999993E-2"/>
    <n v="8.3000000000000001E-3"/>
    <n v="8751283"/>
    <n v="62576912"/>
    <s v="No"/>
    <n v="101730000"/>
    <n v="8.5292075771099873E-2"/>
    <n v="7.0792422890011975E-4"/>
    <x v="1"/>
  </r>
  <r>
    <x v="150"/>
    <s v="HAEDAL"/>
    <n v="2.06E-2"/>
    <n v="1.7299999999999999E-2"/>
    <n v="8740988"/>
    <n v="7948331"/>
    <s v="No"/>
    <n v="425000000"/>
    <n v="2.0249680526884889E-2"/>
    <n v="3.503194731151113E-4"/>
    <x v="1"/>
  </r>
  <r>
    <x v="151"/>
    <s v="TRUST"/>
    <n v="4.8800000000000003E-2"/>
    <n v="1.12E-2"/>
    <n v="8770259"/>
    <n v="2389955"/>
    <s v="No"/>
    <n v="179640000"/>
    <n v="4.8259493670886076E-2"/>
    <n v="5.4050632911392671E-4"/>
    <x v="1"/>
  </r>
  <r>
    <x v="152"/>
    <s v="FHE"/>
    <n v="1.6899999999999998E-2"/>
    <n v="2.0799999999999999E-2"/>
    <n v="8734559"/>
    <n v="5690255"/>
    <s v="Yes"/>
    <n v="517210000.00000006"/>
    <n v="1.655564263322884E-2"/>
    <n v="3.4435736677115858E-4"/>
    <x v="1"/>
  </r>
  <r>
    <x v="153"/>
    <s v="THE"/>
    <n v="6.5799999999999997E-2"/>
    <n v="6.7000000000000002E-3"/>
    <n v="8726562"/>
    <n v="5788007"/>
    <s v="No"/>
    <n v="132610000.00000001"/>
    <n v="6.5362074103506515E-2"/>
    <n v="4.3792589649348235E-4"/>
    <x v="1"/>
  </r>
  <r>
    <x v="154"/>
    <s v="HEI"/>
    <n v="0.1002"/>
    <n v="9.9000000000000008E-3"/>
    <n v="8846993"/>
    <n v="39800165"/>
    <s v="No"/>
    <n v="88240000"/>
    <n v="9.921774433112189E-2"/>
    <n v="9.82255668878107E-4"/>
    <x v="1"/>
  </r>
  <r>
    <x v="155"/>
    <s v="ANTHROPIC"/>
    <n v="899.55"/>
    <n v="6.3E-3"/>
    <n v="8595164"/>
    <n v="307802"/>
    <s v="No"/>
    <n v="9550"/>
    <n v="893.91831461790719"/>
    <n v="5.631685382092769"/>
    <x v="0"/>
  </r>
  <r>
    <x v="156"/>
    <s v="XU3O8"/>
    <n v="5.34"/>
    <n v="1E-4"/>
    <n v="8547463"/>
    <n v="713174"/>
    <s v="Yes"/>
    <n v="1600000"/>
    <n v="5.3394660533946601"/>
    <n v="5.3394660533978566E-4"/>
    <x v="1"/>
  </r>
  <r>
    <x v="157"/>
    <s v="TGC"/>
    <n v="0.11070000000000001"/>
    <n v="1.6500000000000001E-2"/>
    <n v="8524268"/>
    <n v="29287"/>
    <s v="Yes"/>
    <n v="76990000"/>
    <n v="0.108903098868667"/>
    <n v="1.7969011313330036E-3"/>
    <x v="1"/>
  </r>
  <r>
    <x v="158"/>
    <s v="PBTC"/>
    <n v="0.43880000000000002"/>
    <n v="2.8999999999999998E-3"/>
    <n v="8474846"/>
    <n v="125236"/>
    <s v="No"/>
    <n v="19310000"/>
    <n v="0.43753115963705264"/>
    <n v="1.2688403629473877E-3"/>
    <x v="1"/>
  </r>
  <r>
    <x v="159"/>
    <s v="ALCX"/>
    <n v="3.36"/>
    <n v="6.1999999999999998E-3"/>
    <n v="8490917"/>
    <n v="1312642"/>
    <s v="Yes"/>
    <n v="2520000"/>
    <n v="3.3392963625521763"/>
    <n v="2.0703637447823553E-2"/>
    <x v="1"/>
  </r>
  <r>
    <x v="160"/>
    <s v="TUT"/>
    <n v="0.01"/>
    <n v="1.0800000000000001E-2"/>
    <n v="8350740"/>
    <n v="13913684"/>
    <s v="No"/>
    <n v="835270000"/>
    <n v="9.8931539374752676E-3"/>
    <n v="1.0684606252473264E-4"/>
    <x v="1"/>
  </r>
  <r>
    <x v="161"/>
    <s v="4"/>
    <n v="8.3999999999999995E-3"/>
    <n v="8.6999999999999994E-3"/>
    <n v="8363116"/>
    <n v="7297130"/>
    <s v="Yes"/>
    <n v="1000000000"/>
    <n v="8.3275503122831364E-3"/>
    <n v="7.2449687716863095E-5"/>
    <x v="1"/>
  </r>
  <r>
    <x v="162"/>
    <s v="BGSC"/>
    <n v="6.9999999999999999E-4"/>
    <n v="6.1999999999999998E-3"/>
    <n v="6448383"/>
    <n v="485717"/>
    <s v="Yes"/>
    <n v="9320000000"/>
    <n v="6.9568674219837008E-4"/>
    <n v="4.3132578016299083E-6"/>
    <x v="1"/>
  </r>
  <r>
    <x v="163"/>
    <s v="GTC"/>
    <n v="7.3300000000000004E-2"/>
    <n v="3.0999999999999999E-3"/>
    <n v="6415469"/>
    <n v="5112067"/>
    <s v="No"/>
    <n v="87490000"/>
    <n v="7.3073472236068179E-2"/>
    <n v="2.2652776393182472E-4"/>
    <x v="1"/>
  </r>
  <r>
    <x v="164"/>
    <s v="AMO"/>
    <n v="2.9999999999999997E-4"/>
    <n v="0"/>
    <n v="6404757"/>
    <n v="29171"/>
    <s v="No"/>
    <n v="21200000000"/>
    <n v="2.9999999999999997E-4"/>
    <n v="0"/>
    <x v="1"/>
  </r>
  <r>
    <x v="165"/>
    <s v="OXYon"/>
    <n v="57.43"/>
    <n v="1.6000000000000001E-3"/>
    <n v="6399426"/>
    <n v="1168478"/>
    <s v="No"/>
    <n v="111410"/>
    <n v="57.338258785942486"/>
    <n v="9.1741214057513787E-2"/>
    <x v="0"/>
  </r>
  <r>
    <x v="166"/>
    <s v="FIGHT"/>
    <n v="3.0999999999999999E-3"/>
    <n v="1.5900000000000001E-2"/>
    <n v="6417718"/>
    <n v="3626628"/>
    <s v="Yes"/>
    <n v="2049999999.9999998"/>
    <n v="3.0514814450241165E-3"/>
    <n v="4.851855497588339E-5"/>
    <x v="1"/>
  </r>
  <r>
    <x v="167"/>
    <s v="OGY"/>
    <n v="8.0000000000000004E-4"/>
    <n v="2.0000000000000001E-4"/>
    <n v="6388227"/>
    <n v="215386"/>
    <s v="No"/>
    <n v="7820000000"/>
    <n v="7.9984003199360136E-4"/>
    <n v="1.5996800639868098E-7"/>
    <x v="1"/>
  </r>
  <r>
    <x v="168"/>
    <s v="SAVE"/>
    <n v="0.13980000000000001"/>
    <n v="5.0000000000000001E-4"/>
    <n v="6386513"/>
    <n v="824"/>
    <s v="No"/>
    <n v="45660000"/>
    <n v="0.13973013493253375"/>
    <n v="6.9865067466257091E-5"/>
    <x v="1"/>
  </r>
  <r>
    <x v="169"/>
    <s v="GRIN"/>
    <n v="2.7400000000000001E-2"/>
    <n v="2.3999999999999998E-3"/>
    <n v="6375652"/>
    <n v="6397"/>
    <s v="Yes"/>
    <n v="232490000"/>
    <n v="2.7334397446129293E-2"/>
    <n v="6.5602553870707653E-5"/>
    <x v="1"/>
  </r>
  <r>
    <x v="170"/>
    <s v="BKN"/>
    <n v="7.85E-2"/>
    <n v="5.0000000000000001E-4"/>
    <n v="6329637"/>
    <n v="118991"/>
    <s v="Yes"/>
    <n v="80650000"/>
    <n v="7.8460769615192411E-2"/>
    <n v="3.923038480758978E-5"/>
    <x v="1"/>
  </r>
  <r>
    <x v="171"/>
    <s v="APU"/>
    <n v="0"/>
    <n v="4.0000000000000001E-3"/>
    <n v="6318371"/>
    <n v="224602"/>
    <s v="Yes"/>
    <n v="337880000000"/>
    <n v="0"/>
    <n v="0"/>
    <x v="1"/>
  </r>
  <r>
    <x v="172"/>
    <s v="BTR"/>
    <n v="1.9E-2"/>
    <n v="4.3700000000000003E-2"/>
    <n v="6337889"/>
    <n v="2664811"/>
    <s v="No"/>
    <n v="333280000"/>
    <n v="1.8204464884545364E-2"/>
    <n v="7.9553511545463543E-4"/>
    <x v="1"/>
  </r>
  <r>
    <x v="173"/>
    <s v="RESOLV"/>
    <n v="1.6400000000000001E-2"/>
    <n v="7.7999999999999996E-3"/>
    <n v="6309198"/>
    <n v="8594550"/>
    <s v="Yes"/>
    <n v="385180000"/>
    <n v="1.627307005358206E-2"/>
    <n v="1.2692994641794186E-4"/>
    <x v="1"/>
  </r>
  <r>
    <x v="174"/>
    <s v="NIZA"/>
    <n v="3.8999999999999998E-3"/>
    <n v="1.4E-3"/>
    <n v="6311340"/>
    <n v="228048"/>
    <s v="No"/>
    <n v="1610000000"/>
    <n v="3.8945476333133609E-3"/>
    <n v="5.4523666866389264E-6"/>
    <x v="1"/>
  </r>
  <r>
    <x v="175"/>
    <s v="MAVIA"/>
    <n v="2.5499999999999998E-2"/>
    <n v="1.4800000000000001E-2"/>
    <n v="6306281"/>
    <n v="1184339"/>
    <s v="Yes"/>
    <n v="246960000"/>
    <n v="2.5128104059913284E-2"/>
    <n v="3.7189594008671389E-4"/>
    <x v="1"/>
  </r>
  <r>
    <x v="176"/>
    <s v="SPACEX"/>
    <n v="715.16"/>
    <n v="1E-3"/>
    <n v="6252612"/>
    <n v="429359"/>
    <s v="Yes"/>
    <n v="8740"/>
    <n v="714.44555444555454"/>
    <n v="0.71444555444543312"/>
    <x v="0"/>
  </r>
  <r>
    <x v="177"/>
    <s v="JUV"/>
    <n v="0.32790000000000002"/>
    <n v="2.0999999999999999E-3"/>
    <n v="5103175"/>
    <n v="8590627"/>
    <s v="Yes"/>
    <n v="15560000"/>
    <n v="0.3272128530086818"/>
    <n v="6.8714699131822154E-4"/>
    <x v="1"/>
  </r>
  <r>
    <x v="178"/>
    <s v="CITY"/>
    <n v="0.37830000000000003"/>
    <n v="2.0199999999999999E-2"/>
    <n v="5101302"/>
    <n v="6658670"/>
    <s v="Yes"/>
    <n v="13480000"/>
    <n v="0.37080964516761422"/>
    <n v="7.4903548323858038E-3"/>
    <x v="1"/>
  </r>
  <r>
    <x v="179"/>
    <s v="NOBODY"/>
    <n v="5.4000000000000003E-3"/>
    <n v="8.0999999999999996E-3"/>
    <n v="5072302"/>
    <n v="490438"/>
    <s v="No"/>
    <n v="936060000"/>
    <n v="5.3566114472770564E-3"/>
    <n v="4.338855272294391E-5"/>
    <x v="1"/>
  </r>
  <r>
    <x v="180"/>
    <s v="SPARKLET"/>
    <n v="1.9E-2"/>
    <n v="2.9999999999999997E-4"/>
    <n v="5063868"/>
    <n v="164930"/>
    <s v="Yes"/>
    <n v="267140000"/>
    <n v="1.8994301709487155E-2"/>
    <n v="5.6982905128448447E-6"/>
    <x v="1"/>
  </r>
  <r>
    <x v="181"/>
    <s v="雪球"/>
    <n v="8.8999999999999999E-3"/>
    <n v="8.3999999999999995E-3"/>
    <n v="5001116"/>
    <n v="169770"/>
    <s v="No"/>
    <n v="561040000"/>
    <n v="8.8258627528758436E-3"/>
    <n v="7.4137247124156369E-5"/>
    <x v="1"/>
  </r>
  <r>
    <x v="182"/>
    <s v="ALTSZN"/>
    <n v="5.0000000000000001E-3"/>
    <n v="4.48E-2"/>
    <n v="4963366"/>
    <n v="2738594"/>
    <s v="Yes"/>
    <n v="999960000"/>
    <n v="4.7856049004594186E-3"/>
    <n v="2.1439509954058154E-4"/>
    <x v="1"/>
  </r>
  <r>
    <x v="183"/>
    <s v="PKOIN"/>
    <n v="0.35610000000000003"/>
    <n v="0"/>
    <n v="4959267"/>
    <n v="40175"/>
    <s v="Yes"/>
    <n v="13920000"/>
    <n v="0.35610000000000003"/>
    <n v="0"/>
    <x v="1"/>
  </r>
  <r>
    <x v="184"/>
    <s v="NOM"/>
    <n v="1.6999999999999999E-3"/>
    <n v="5.4000000000000003E-3"/>
    <n v="4946179"/>
    <n v="12375480"/>
    <s v="Yes"/>
    <n v="2900000000"/>
    <n v="1.6908693057489555E-3"/>
    <n v="9.1306942510444456E-6"/>
    <x v="1"/>
  </r>
  <r>
    <x v="185"/>
    <s v="USDR"/>
    <n v="0.7026"/>
    <n v="1.18E-2"/>
    <n v="4931501"/>
    <n v="24261"/>
    <s v="No"/>
    <n v="7010000"/>
    <n v="0.694406009092706"/>
    <n v="8.193990907294002E-3"/>
    <x v="1"/>
  </r>
  <r>
    <x v="186"/>
    <s v="ANON"/>
    <n v="0.35560000000000003"/>
    <n v="4.0000000000000002E-4"/>
    <n v="4929814"/>
    <n v="584219"/>
    <s v="No"/>
    <n v="13850000"/>
    <n v="0.35545781687325073"/>
    <n v="1.4218312674929567E-4"/>
    <x v="1"/>
  </r>
  <r>
    <x v="187"/>
    <s v="LLYon"/>
    <n v="1127.72"/>
    <n v="8.9999999999999998E-4"/>
    <n v="4912670"/>
    <n v="3519520"/>
    <s v="No"/>
    <n v="4350"/>
    <n v="1126.7059646318314"/>
    <n v="1.0140353681686065"/>
    <x v="0"/>
  </r>
  <r>
    <x v="188"/>
    <s v="MIM"/>
    <n v="2.0000000000000001E-4"/>
    <n v="3.8E-3"/>
    <n v="4905997"/>
    <n v="64300"/>
    <s v="No"/>
    <n v="21000000000"/>
    <n v="1.9924287706714485E-4"/>
    <n v="7.5712293285515905E-7"/>
    <x v="1"/>
  </r>
  <r>
    <x v="189"/>
    <s v="SOLV"/>
    <n v="3.3E-3"/>
    <n v="2.8999999999999998E-3"/>
    <n v="4896055"/>
    <n v="7528812"/>
    <s v="No"/>
    <n v="1480000000"/>
    <n v="3.290457672749028E-3"/>
    <n v="9.5423272509719513E-6"/>
    <x v="1"/>
  </r>
  <r>
    <x v="190"/>
    <s v="NFP"/>
    <n v="8.3000000000000001E-3"/>
    <n v="3.2500000000000001E-2"/>
    <n v="4876890"/>
    <n v="38307907"/>
    <s v="No"/>
    <n v="585640000"/>
    <n v="8.038740920096852E-3"/>
    <n v="2.6125907990314813E-4"/>
    <x v="1"/>
  </r>
  <r>
    <x v="191"/>
    <s v="STRIKE"/>
    <n v="1.89E-2"/>
    <n v="1.9400000000000001E-2"/>
    <n v="3976367"/>
    <n v="217259"/>
    <s v="No"/>
    <n v="209900000"/>
    <n v="1.854031783402001E-2"/>
    <n v="3.5968216597999023E-4"/>
    <x v="1"/>
  </r>
  <r>
    <x v="192"/>
    <s v="KLV"/>
    <n v="4.0000000000000002E-4"/>
    <n v="7.7499999999999999E-2"/>
    <n v="3972245"/>
    <n v="378834"/>
    <s v="No"/>
    <n v="8880000000"/>
    <n v="3.7122969837587015E-4"/>
    <n v="2.8770301624129872E-5"/>
    <x v="1"/>
  </r>
  <r>
    <x v="193"/>
    <s v="MBOX"/>
    <n v="7.1999999999999998E-3"/>
    <n v="1.4999999999999999E-2"/>
    <n v="3974558"/>
    <n v="32371110"/>
    <s v="Yes"/>
    <n v="550320000"/>
    <n v="7.0935960591133008E-3"/>
    <n v="1.0640394088669899E-4"/>
    <x v="1"/>
  </r>
  <r>
    <x v="194"/>
    <s v="BTX"/>
    <n v="1.7600000000000001E-2"/>
    <n v="4.0000000000000002E-4"/>
    <n v="3967959"/>
    <n v="852975"/>
    <s v="Yes"/>
    <n v="224750000"/>
    <n v="1.7592962814874054E-2"/>
    <n v="7.0371851259472262E-6"/>
    <x v="1"/>
  </r>
  <r>
    <x v="195"/>
    <s v="SWELL"/>
    <n v="8.0000000000000004E-4"/>
    <n v="7.6E-3"/>
    <n v="3941581"/>
    <n v="8521023"/>
    <s v="No"/>
    <n v="4810000000"/>
    <n v="7.9396585946804284E-4"/>
    <n v="6.0341405319571956E-6"/>
    <x v="1"/>
  </r>
  <r>
    <x v="196"/>
    <s v="IHC"/>
    <n v="0"/>
    <n v="2.3E-3"/>
    <n v="3919929"/>
    <n v="6403"/>
    <s v="No"/>
    <n v="119640000000"/>
    <n v="0"/>
    <n v="0"/>
    <x v="1"/>
  </r>
  <r>
    <x v="197"/>
    <s v="PUSS"/>
    <n v="4.4000000000000003E-3"/>
    <n v="8.0000000000000004E-4"/>
    <n v="3905453"/>
    <n v="995138"/>
    <s v="No"/>
    <n v="878820000"/>
    <n v="4.3964828137490015E-3"/>
    <n v="3.517186250998755E-6"/>
    <x v="1"/>
  </r>
  <r>
    <x v="198"/>
    <s v="MANYU"/>
    <n v="8.3900000000000002E-2"/>
    <n v="5.9999999999999995E-4"/>
    <n v="3884725"/>
    <n v="2597815"/>
    <s v="Yes"/>
    <m/>
    <n v="8.3849690185888476E-2"/>
    <n v="5.0309814111526574E-5"/>
    <x v="1"/>
  </r>
  <r>
    <x v="199"/>
    <s v="BLZ"/>
    <n v="8.2000000000000007E-3"/>
    <n v="7.1000000000000004E-3"/>
    <n v="3882095"/>
    <n v="207968"/>
    <s v="No"/>
    <n v="471420000"/>
    <n v="8.142190447820474E-3"/>
    <n v="5.7809552179526741E-5"/>
    <x v="1"/>
  </r>
  <r>
    <x v="200"/>
    <s v="PTB"/>
    <n v="5.9999999999999995E-4"/>
    <n v="1.7500000000000002E-2"/>
    <n v="3869077"/>
    <n v="1872715"/>
    <s v="Yes"/>
    <n v="6830000000"/>
    <n v="5.896805896805896E-4"/>
    <n v="1.0319410319410346E-5"/>
    <x v="1"/>
  </r>
  <r>
    <x v="201"/>
    <s v="AFC"/>
    <n v="0.17349999999999999"/>
    <n v="4.3E-3"/>
    <n v="3878272"/>
    <n v="1740419"/>
    <s v="No"/>
    <n v="22340000"/>
    <n v="0.17275714427959774"/>
    <n v="7.4285572040225234E-4"/>
    <x v="1"/>
  </r>
  <r>
    <x v="202"/>
    <s v="HOODon"/>
    <n v="80.25"/>
    <n v="4.3E-3"/>
    <n v="3861791"/>
    <n v="2343933"/>
    <s v="Yes"/>
    <n v="48110"/>
    <n v="79.906402469381661"/>
    <n v="0.34359753061833942"/>
    <x v="0"/>
  </r>
  <r>
    <x v="203"/>
    <s v="UBT"/>
    <n v="2.5700000000000001E-2"/>
    <n v="9.5999999999999992E-3"/>
    <n v="3856893"/>
    <n v="1776"/>
    <s v="Yes"/>
    <n v="149990000"/>
    <n v="2.5455625990491282E-2"/>
    <n v="2.4437400950871879E-4"/>
    <x v="1"/>
  </r>
  <r>
    <x v="204"/>
    <s v="$PURPE"/>
    <n v="5.9200000000000003E-2"/>
    <n v="1.5E-3"/>
    <n v="3856893"/>
    <n v="401875"/>
    <s v="No"/>
    <n v="417210000000"/>
    <n v="5.9111333000499248E-2"/>
    <n v="8.8666999500754129E-5"/>
    <x v="1"/>
  </r>
  <r>
    <x v="205"/>
    <s v="EAT"/>
    <n v="1.4500000000000001E-2"/>
    <n v="1.4E-3"/>
    <n v="3083850"/>
    <n v="182797"/>
    <s v="Yes"/>
    <n v="213140000"/>
    <n v="1.4479728380267625E-2"/>
    <n v="2.0271619732375318E-5"/>
    <x v="1"/>
  </r>
  <r>
    <x v="206"/>
    <s v="DEOD"/>
    <n v="6.6E-3"/>
    <n v="2.5999999999999999E-3"/>
    <n v="3064880"/>
    <n v="302690"/>
    <s v="Yes"/>
    <n v="464390000"/>
    <n v="6.5828845002992228E-3"/>
    <n v="1.7115499700777123E-5"/>
    <x v="1"/>
  </r>
  <r>
    <x v="207"/>
    <s v="GHST"/>
    <n v="5.8099999999999999E-2"/>
    <n v="2.9999999999999997E-4"/>
    <n v="3063211"/>
    <n v="217674"/>
    <s v="Yes"/>
    <n v="52740000"/>
    <n v="5.8082575227431772E-2"/>
    <n v="1.7424772568226665E-5"/>
    <x v="1"/>
  </r>
  <r>
    <x v="208"/>
    <s v="ZEX"/>
    <n v="1.6199999999999999E-2"/>
    <n v="1.1999999999999999E-3"/>
    <n v="3045908"/>
    <n v="51982"/>
    <s v="Yes"/>
    <n v="187760000"/>
    <n v="1.618058330003995E-2"/>
    <n v="1.9416699960049522E-5"/>
    <x v="1"/>
  </r>
  <r>
    <x v="209"/>
    <s v="ARENA"/>
    <n v="5.0000000000000001E-4"/>
    <n v="7.9000000000000008E-3"/>
    <n v="3038724"/>
    <n v="34550"/>
    <s v="No"/>
    <n v="5980000000"/>
    <n v="4.9608096041273933E-4"/>
    <n v="3.9190395872606759E-6"/>
    <x v="1"/>
  </r>
  <r>
    <x v="210"/>
    <s v="NODL"/>
    <n v="5.0000000000000001E-4"/>
    <n v="1.6299999999999999E-2"/>
    <n v="3045265"/>
    <n v="97858"/>
    <s v="No"/>
    <n v="6070000000"/>
    <n v="4.9198071435599725E-4"/>
    <n v="8.0192856440027601E-6"/>
    <x v="1"/>
  </r>
  <r>
    <x v="211"/>
    <s v="SHIDO"/>
    <n v="1E-4"/>
    <n v="1.0500000000000001E-2"/>
    <n v="3030258"/>
    <n v="91287"/>
    <s v="No"/>
    <n v="23470000000"/>
    <n v="9.8960910440376058E-5"/>
    <n v="1.0390895596239463E-6"/>
    <x v="1"/>
  </r>
  <r>
    <x v="212"/>
    <s v="IJHon"/>
    <n v="74.599999999999994"/>
    <n v="2.8999999999999998E-3"/>
    <n v="3022812"/>
    <n v="758633"/>
    <s v="No"/>
    <n v="40510"/>
    <n v="74.384285571841659"/>
    <n v="0.21571442815833564"/>
    <x v="0"/>
  </r>
  <r>
    <x v="213"/>
    <s v="DMTR"/>
    <n v="6.1999999999999998E-3"/>
    <n v="1.5E-3"/>
    <n v="3017236"/>
    <n v="164804"/>
    <s v="Yes"/>
    <n v="486500000"/>
    <n v="6.1907139291063401E-3"/>
    <n v="9.2860708936597092E-6"/>
    <x v="1"/>
  </r>
  <r>
    <x v="214"/>
    <s v="OBT"/>
    <n v="5.0000000000000001E-4"/>
    <n v="1.7000000000000001E-2"/>
    <n v="3007470"/>
    <n v="3201669"/>
    <s v="No"/>
    <n v="5500000000"/>
    <n v="4.9164208456243857E-4"/>
    <n v="8.3579154375614364E-6"/>
    <x v="1"/>
  </r>
  <r>
    <x v="215"/>
    <s v="CTA"/>
    <n v="6.0000000000000001E-3"/>
    <n v="3.5099999999999999E-2"/>
    <n v="3006189"/>
    <n v="120681"/>
    <s v="Yes"/>
    <n v="500000000"/>
    <n v="5.7965413969664776E-3"/>
    <n v="2.0345860303352253E-4"/>
    <x v="1"/>
  </r>
  <r>
    <x v="216"/>
    <s v="DRGN"/>
    <n v="8.0999999999999996E-3"/>
    <n v="4.0000000000000002E-4"/>
    <n v="2987092"/>
    <n v="1"/>
    <s v="Yes"/>
    <n v="370770000"/>
    <n v="8.0967612954818066E-3"/>
    <n v="3.2387045181929419E-6"/>
    <x v="1"/>
  </r>
  <r>
    <x v="217"/>
    <s v="COLS"/>
    <n v="3.8999999999999998E-3"/>
    <n v="2.5999999999999999E-3"/>
    <n v="2984414"/>
    <n v="1315722"/>
    <s v="Yes"/>
    <n v="766340000"/>
    <n v="3.8898862956313588E-3"/>
    <n v="1.0113704368641067E-5"/>
    <x v="1"/>
  </r>
  <r>
    <x v="218"/>
    <s v="PEIPEI"/>
    <n v="8.7099999999999997E-2"/>
    <n v="0.1454"/>
    <n v="2982813"/>
    <n v="368122"/>
    <s v="Yes"/>
    <n v="420680000000000"/>
    <n v="7.6043303649380126E-2"/>
    <n v="1.1056696350619871E-2"/>
    <x v="1"/>
  </r>
  <r>
    <x v="219"/>
    <s v="QST"/>
    <n v="3.0999999999999999E-3"/>
    <n v="2.7199999999999998E-2"/>
    <n v="2354870"/>
    <n v="59813"/>
    <s v="No"/>
    <n v="751510000"/>
    <n v="3.0179127725856701E-3"/>
    <n v="8.2087227414329774E-5"/>
    <x v="1"/>
  </r>
  <r>
    <x v="220"/>
    <s v="VFY"/>
    <n v="6.4000000000000003E-3"/>
    <n v="4.0000000000000002E-4"/>
    <n v="2346526"/>
    <n v="559825"/>
    <s v="No"/>
    <n v="368630000"/>
    <n v="6.3974410235905646E-3"/>
    <n v="2.5589764094356704E-6"/>
    <x v="1"/>
  </r>
  <r>
    <x v="221"/>
    <s v="EAT"/>
    <n v="2.0000000000000001E-4"/>
    <n v="1E-3"/>
    <n v="2337459"/>
    <n v="433406"/>
    <s v="No"/>
    <n v="10260000000"/>
    <n v="1.9980019980019983E-4"/>
    <n v="1.9980019980018245E-7"/>
    <x v="1"/>
  </r>
  <r>
    <x v="222"/>
    <s v="FOXSY"/>
    <n v="2.0999999999999999E-3"/>
    <n v="7.1000000000000004E-3"/>
    <n v="2336239"/>
    <n v="237806"/>
    <s v="Yes"/>
    <n v="1130000000"/>
    <n v="2.0851951146857312E-3"/>
    <n v="1.4804885314268715E-5"/>
    <x v="1"/>
  </r>
  <r>
    <x v="223"/>
    <s v="ADP"/>
    <n v="5.0000000000000001E-4"/>
    <n v="9.5999999999999992E-3"/>
    <n v="2312857"/>
    <n v="48313"/>
    <s v="No"/>
    <n v="4680000000"/>
    <n v="4.9524564183835184E-4"/>
    <n v="4.754358161648169E-6"/>
    <x v="1"/>
  </r>
  <r>
    <x v="224"/>
    <s v="Q"/>
    <n v="6.13E-2"/>
    <n v="1E-4"/>
    <n v="2320829"/>
    <n v="239"/>
    <s v="No"/>
    <n v="18410000000000"/>
    <n v="6.1293870612938707E-2"/>
    <n v="6.1293870612932899E-6"/>
    <x v="1"/>
  </r>
  <r>
    <x v="225"/>
    <s v="PAIN"/>
    <n v="0.46160000000000001"/>
    <n v="1E-4"/>
    <n v="2308183"/>
    <n v="7901"/>
    <s v="Yes"/>
    <n v="4990000"/>
    <n v="0.46155384461553844"/>
    <n v="4.6155384461565863E-5"/>
    <x v="1"/>
  </r>
  <r>
    <x v="226"/>
    <s v="DRX"/>
    <n v="3.5000000000000001E-3"/>
    <n v="3.3799999999999997E-2"/>
    <n v="2308047"/>
    <n v="17602"/>
    <s v="Yes"/>
    <n v="664000000"/>
    <n v="3.3855678080866704E-3"/>
    <n v="1.1443219191332966E-4"/>
    <x v="1"/>
  </r>
  <r>
    <x v="227"/>
    <s v="KIBSHI"/>
    <n v="5.2299999999999999E-2"/>
    <n v="1.1900000000000001E-2"/>
    <n v="2302202"/>
    <n v="676198"/>
    <s v="Yes"/>
    <n v="1000000000000"/>
    <n v="5.1684949105642849E-2"/>
    <n v="6.1505089435714977E-4"/>
    <x v="1"/>
  </r>
  <r>
    <x v="228"/>
    <s v="REAL"/>
    <n v="2.3E-3"/>
    <n v="2.8999999999999998E-3"/>
    <n v="2293012"/>
    <n v="359670"/>
    <s v="No"/>
    <n v="995210000"/>
    <n v="2.2933492870675044E-3"/>
    <n v="6.650712932495563E-6"/>
    <x v="1"/>
  </r>
  <r>
    <x v="229"/>
    <s v="BEE"/>
    <n v="1.3100000000000001E-2"/>
    <n v="4.0000000000000002E-4"/>
    <n v="2272812"/>
    <n v="12078"/>
    <s v="No"/>
    <n v="173820000"/>
    <n v="1.3094762095161937E-2"/>
    <n v="5.2379048380638005E-6"/>
    <x v="1"/>
  </r>
  <r>
    <x v="230"/>
    <s v="EPT"/>
    <n v="5.0000000000000001E-4"/>
    <n v="2.9999999999999997E-4"/>
    <n v="2270858"/>
    <n v="1316156"/>
    <s v="No"/>
    <n v="4219999999.9999995"/>
    <n v="4.9985004498650403E-4"/>
    <n v="1.4995501349597973E-7"/>
    <x v="1"/>
  </r>
  <r>
    <x v="231"/>
    <s v="PEPon"/>
    <n v="146.13999999999999"/>
    <n v="1.8E-3"/>
    <n v="2262957"/>
    <n v="1825127"/>
    <s v="No"/>
    <n v="15480"/>
    <n v="145.87742064284288"/>
    <n v="0.26257935715710801"/>
    <x v="0"/>
  </r>
  <r>
    <x v="232"/>
    <s v="BABYASTEROID"/>
    <n v="8.43E-2"/>
    <n v="3.7999999999999999E-2"/>
    <n v="1806964"/>
    <n v="101991"/>
    <s v="No"/>
    <n v="420000000000000"/>
    <n v="8.1213872832369943E-2"/>
    <n v="3.0861271676300567E-3"/>
    <x v="1"/>
  </r>
  <r>
    <x v="233"/>
    <s v="RARI"/>
    <n v="9.2700000000000005E-2"/>
    <n v="2.8999999999999998E-3"/>
    <n v="1806691"/>
    <n v="276756"/>
    <s v="Yes"/>
    <n v="19480000"/>
    <n v="9.2431947352677249E-2"/>
    <n v="2.6805264732275569E-4"/>
    <x v="1"/>
  </r>
  <r>
    <x v="234"/>
    <s v="Von"/>
    <n v="325.76"/>
    <n v="0"/>
    <n v="1791774"/>
    <n v="876284"/>
    <s v="No"/>
    <n v="5500"/>
    <n v="325.76"/>
    <n v="0"/>
    <x v="0"/>
  </r>
  <r>
    <x v="235"/>
    <s v="MANEKI"/>
    <n v="2.0000000000000001E-4"/>
    <n v="1.09E-2"/>
    <n v="1786533"/>
    <n v="332122"/>
    <s v="No"/>
    <n v="8850000000"/>
    <n v="1.9784350578692258E-4"/>
    <n v="2.1564942130774287E-6"/>
    <x v="1"/>
  </r>
  <r>
    <x v="236"/>
    <s v="FANC"/>
    <n v="1E-3"/>
    <n v="4.7999999999999996E-3"/>
    <n v="1782399"/>
    <n v="81591"/>
    <s v="No"/>
    <n v="1820000000"/>
    <n v="9.9522292993630595E-4"/>
    <n v="4.7770700636940756E-6"/>
    <x v="1"/>
  </r>
  <r>
    <x v="237"/>
    <s v="JWT"/>
    <n v="1.26"/>
    <n v="2.0000000000000001E-4"/>
    <n v="1774937"/>
    <n v="66401"/>
    <s v="No"/>
    <n v="1400000"/>
    <n v="1.2597480503899221"/>
    <n v="2.5194961007790617E-4"/>
    <x v="1"/>
  </r>
  <r>
    <x v="238"/>
    <s v="AZERO"/>
    <n v="6.6E-3"/>
    <n v="1.24E-2"/>
    <n v="1768062"/>
    <n v="119060"/>
    <s v="No"/>
    <n v="266769999.99999997"/>
    <n v="6.5191623864085347E-3"/>
    <n v="8.0837613591465234E-5"/>
    <x v="1"/>
  </r>
  <r>
    <x v="239"/>
    <s v="TROLL"/>
    <n v="8.1799999999999998E-2"/>
    <n v="2.0000000000000001E-4"/>
    <n v="1764315"/>
    <n v="115914"/>
    <s v="No"/>
    <n v="960420000000000"/>
    <n v="8.1783643271345727E-2"/>
    <n v="1.6356728654270958E-5"/>
    <x v="1"/>
  </r>
  <r>
    <x v="240"/>
    <s v="BLKon"/>
    <n v="1013.86"/>
    <n v="0"/>
    <n v="1763126"/>
    <n v="821507"/>
    <s v="No"/>
    <n v="1730"/>
    <n v="1013.86"/>
    <n v="0"/>
    <x v="0"/>
  </r>
  <r>
    <x v="241"/>
    <s v="ROAM"/>
    <n v="5.0000000000000001E-3"/>
    <n v="5.7000000000000002E-3"/>
    <n v="1760912"/>
    <n v="1784545"/>
    <s v="No"/>
    <n v="351230000"/>
    <n v="4.9716615292830866E-3"/>
    <n v="2.8338470716913512E-5"/>
    <x v="1"/>
  </r>
  <r>
    <x v="242"/>
    <s v="EQIXon"/>
    <n v="1094.1099999999999"/>
    <n v="1E-4"/>
    <n v="1760374"/>
    <n v="736049"/>
    <s v="No"/>
    <n v="1600"/>
    <n v="1094.0005999400059"/>
    <n v="0.10940005999395908"/>
    <x v="0"/>
  </r>
  <r>
    <x v="243"/>
    <s v="SSLX"/>
    <n v="5.9999999999999995E-4"/>
    <n v="2.0999999999999999E-3"/>
    <n v="1491710"/>
    <n v="188215"/>
    <s v="No"/>
    <n v="2500000000"/>
    <n v="5.9874264045504434E-4"/>
    <n v="1.257359544955608E-6"/>
    <x v="1"/>
  </r>
  <r>
    <x v="244"/>
    <s v="BIDUon"/>
    <n v="121.03"/>
    <n v="0"/>
    <n v="1487510"/>
    <n v="775875"/>
    <s v="No"/>
    <n v="12290"/>
    <n v="121.03"/>
    <n v="0"/>
    <x v="0"/>
  </r>
  <r>
    <x v="245"/>
    <s v="MAIGA"/>
    <n v="5.3E-3"/>
    <n v="1.1000000000000001E-3"/>
    <n v="1482423"/>
    <n v="466345"/>
    <s v="No"/>
    <n v="280000000"/>
    <n v="5.2941764059534508E-3"/>
    <n v="5.8235940465492173E-6"/>
    <x v="1"/>
  </r>
  <r>
    <x v="246"/>
    <s v="SIGMA"/>
    <n v="1.6000000000000001E-3"/>
    <n v="5.4000000000000003E-3"/>
    <n v="1481390"/>
    <n v="838166"/>
    <s v="No"/>
    <n v="899840000"/>
    <n v="1.5914064054107818E-3"/>
    <n v="8.593594589218238E-6"/>
    <x v="1"/>
  </r>
  <r>
    <x v="247"/>
    <s v="NIKO"/>
    <n v="1.5E-3"/>
    <n v="1.41E-2"/>
    <n v="1477054"/>
    <n v="1398"/>
    <s v="No"/>
    <n v="1000000000"/>
    <n v="1.4791440686322849E-3"/>
    <n v="2.0855931367715118E-5"/>
    <x v="1"/>
  </r>
  <r>
    <x v="248"/>
    <s v="IMPT"/>
    <n v="1E-3"/>
    <n v="2.5999999999999999E-3"/>
    <n v="1472643"/>
    <n v="290891"/>
    <s v="No"/>
    <n v="1420000000"/>
    <n v="9.9740674246957925E-4"/>
    <n v="2.5932575304207697E-6"/>
    <x v="1"/>
  </r>
  <r>
    <x v="249"/>
    <s v="FITFI"/>
    <n v="2.9999999999999997E-4"/>
    <n v="5.8400000000000001E-2"/>
    <n v="1498720"/>
    <n v="2985093"/>
    <s v="No"/>
    <n v="4570000000"/>
    <n v="2.8344671201814054E-4"/>
    <n v="1.6553287981859431E-5"/>
    <x v="1"/>
  </r>
  <r>
    <x v="250"/>
    <s v="CRP"/>
    <n v="0.14000000000000001"/>
    <n v="4.4999999999999997E-3"/>
    <n v="1470106"/>
    <n v="190009"/>
    <s v="Yes"/>
    <n v="10490000"/>
    <n v="0.13937282229965159"/>
    <n v="6.2717770034842468E-4"/>
    <x v="1"/>
  </r>
  <r>
    <x v="251"/>
    <s v="NIBI"/>
    <n v="1.5E-3"/>
    <n v="2.0999999999999999E-3"/>
    <n v="1469571"/>
    <n v="425763"/>
    <s v="Yes"/>
    <n v="1000000000"/>
    <n v="1.496856601137611E-3"/>
    <n v="3.1433988623890199E-6"/>
    <x v="1"/>
  </r>
  <r>
    <x v="252"/>
    <s v="KYVE"/>
    <n v="1.1999999999999999E-3"/>
    <n v="1.6999999999999999E-3"/>
    <n v="1466425"/>
    <n v="1731"/>
    <s v="No"/>
    <n v="1190000000"/>
    <n v="1.1979634621144054E-3"/>
    <n v="2.0365378855945367E-6"/>
    <x v="1"/>
  </r>
  <r>
    <x v="253"/>
    <s v="CUDIS"/>
    <n v="5.8999999999999999E-3"/>
    <n v="2.7000000000000001E-3"/>
    <n v="1460651"/>
    <n v="6219371"/>
    <s v="No"/>
    <n v="247500000"/>
    <n v="5.8841128951830062E-3"/>
    <n v="1.5887104816993645E-5"/>
    <x v="1"/>
  </r>
  <r>
    <x v="254"/>
    <s v="DF"/>
    <n v="1.5E-3"/>
    <n v="0"/>
    <n v="1459321"/>
    <n v="21459"/>
    <s v="Yes"/>
    <n v="999920000"/>
    <n v="1.5E-3"/>
    <n v="0"/>
    <x v="1"/>
  </r>
  <r>
    <x v="255"/>
    <s v="BILLY"/>
    <n v="1.5E-3"/>
    <n v="2.41E-2"/>
    <n v="1458904"/>
    <n v="6471"/>
    <s v="No"/>
    <n v="1000000000"/>
    <n v="1.4647007128210136E-3"/>
    <n v="3.5299287178986458E-5"/>
    <x v="1"/>
  </r>
  <r>
    <x v="256"/>
    <s v="FLT"/>
    <n v="4.1999999999999997E-3"/>
    <n v="4.3E-3"/>
    <n v="1207576"/>
    <n v="80143"/>
    <s v="No"/>
    <n v="287730000"/>
    <n v="4.1820173255003486E-3"/>
    <n v="1.7982674499651165E-5"/>
    <x v="1"/>
  </r>
  <r>
    <x v="257"/>
    <s v="IMU"/>
    <n v="1.4E-3"/>
    <n v="1.6999999999999999E-3"/>
    <n v="1199325"/>
    <n v="1885566"/>
    <s v="No"/>
    <n v="853380000"/>
    <n v="1.397624039133473E-3"/>
    <n v="2.3759608665269594E-6"/>
    <x v="1"/>
  </r>
  <r>
    <x v="258"/>
    <s v="DOGE"/>
    <n v="1.1999999999999999E-3"/>
    <n v="2.0999999999999999E-3"/>
    <n v="1198549"/>
    <n v="448798"/>
    <s v="No"/>
    <n v="979110000"/>
    <n v="1.1974852809100887E-3"/>
    <n v="2.514719089911216E-6"/>
    <x v="1"/>
  </r>
  <r>
    <x v="259"/>
    <s v="CRMon"/>
    <n v="185.64"/>
    <n v="2.7000000000000001E-3"/>
    <n v="1201141"/>
    <n v="1194229"/>
    <s v="No"/>
    <n v="6470"/>
    <n v="185.14012167148698"/>
    <n v="0.49987832851300595"/>
    <x v="0"/>
  </r>
  <r>
    <x v="260"/>
    <s v="EWYon"/>
    <n v="175.86"/>
    <n v="4.0000000000000002E-4"/>
    <n v="1199600"/>
    <n v="2078773"/>
    <s v="No"/>
    <n v="6820"/>
    <n v="175.78968412634947"/>
    <n v="7.0315873650542926E-2"/>
    <x v="0"/>
  </r>
  <r>
    <x v="261"/>
    <s v="CDL"/>
    <n v="5.8999999999999999E-3"/>
    <n v="6.6E-3"/>
    <n v="1199080"/>
    <n v="128970"/>
    <s v="No"/>
    <n v="204590000"/>
    <n v="5.861315318895291E-3"/>
    <n v="3.8684681104708858E-5"/>
    <x v="1"/>
  </r>
  <r>
    <x v="262"/>
    <s v="AZIT"/>
    <n v="2.8E-3"/>
    <n v="1.54E-2"/>
    <n v="1205707"/>
    <n v="72427"/>
    <s v="No"/>
    <n v="429810000"/>
    <n v="2.7575339767579275E-3"/>
    <n v="4.2466023242072447E-5"/>
    <x v="1"/>
  </r>
  <r>
    <x v="263"/>
    <s v="HASHAI"/>
    <n v="0"/>
    <n v="4.0000000000000001E-3"/>
    <n v="1201464"/>
    <n v="81028"/>
    <s v="No"/>
    <n v="84560000000"/>
    <n v="0"/>
    <n v="0"/>
    <x v="1"/>
  </r>
  <r>
    <x v="264"/>
    <s v="ADM"/>
    <n v="1.0800000000000001E-2"/>
    <n v="2.0000000000000001E-4"/>
    <n v="1198250"/>
    <n v="110464"/>
    <s v="No"/>
    <n v="110370000"/>
    <n v="1.0797840431913617E-2"/>
    <n v="2.1595680863833316E-6"/>
    <x v="1"/>
  </r>
  <r>
    <x v="265"/>
    <s v="LITKEY"/>
    <n v="5.4000000000000003E-3"/>
    <n v="7.6E-3"/>
    <n v="1193409"/>
    <n v="2950"/>
    <s v="Yes"/>
    <n v="220000000"/>
    <n v="5.3592695514092896E-3"/>
    <n v="4.0730448590710691E-5"/>
    <x v="1"/>
  </r>
  <r>
    <x v="266"/>
    <s v="JDon"/>
    <n v="29.9"/>
    <n v="1.5E-3"/>
    <n v="1186586"/>
    <n v="828027"/>
    <s v="Yes"/>
    <n v="39680"/>
    <n v="29.855217174238639"/>
    <n v="4.4782825761359391E-2"/>
    <x v="0"/>
  </r>
  <r>
    <x v="267"/>
    <s v="LOL"/>
    <n v="1.1999999999999999E-3"/>
    <n v="3.4700000000000002E-2"/>
    <n v="1205156"/>
    <n v="498762"/>
    <s v="Yes"/>
    <n v="992240000"/>
    <n v="1.1597564511452595E-3"/>
    <n v="4.0243548854740439E-5"/>
    <x v="1"/>
  </r>
  <r>
    <x v="268"/>
    <s v="ABNBon"/>
    <n v="132.88"/>
    <n v="2.5000000000000001E-3"/>
    <n v="1177696"/>
    <n v="826410"/>
    <s v="No"/>
    <n v="8860"/>
    <n v="132.54862842892769"/>
    <n v="0.33137157107231019"/>
    <x v="0"/>
  </r>
  <r>
    <x v="269"/>
    <s v="SHR"/>
    <n v="2.9999999999999997E-4"/>
    <n v="1.6199999999999999E-2"/>
    <n v="1175672"/>
    <n v="195191"/>
    <s v="Yes"/>
    <n v="3610000000"/>
    <n v="2.9521747687463095E-4"/>
    <n v="4.782523125369028E-6"/>
    <x v="1"/>
  </r>
  <r>
    <x v="270"/>
    <s v="RVF"/>
    <n v="1.4200000000000001E-2"/>
    <n v="1.6799999999999999E-2"/>
    <n v="1172258"/>
    <n v="10037"/>
    <s v="Yes"/>
    <n v="82640000"/>
    <n v="1.3965381589299766E-2"/>
    <n v="2.3461841070023491E-4"/>
    <x v="1"/>
  </r>
  <r>
    <x v="271"/>
    <s v="STUFF"/>
    <n v="2.9999999999999997E-4"/>
    <n v="4.3E-3"/>
    <n v="972646"/>
    <n v="1749"/>
    <s v="Yes"/>
    <n v="3340000000"/>
    <n v="2.9871552325002487E-4"/>
    <n v="1.2844767499751064E-6"/>
    <x v="1"/>
  </r>
  <r>
    <x v="272"/>
    <s v="BEB1M"/>
    <n v="1E-3"/>
    <n v="3.8999999999999998E-3"/>
    <n v="970789"/>
    <n v="17169"/>
    <s v="Yes"/>
    <n v="999720000"/>
    <n v="9.9611515091144534E-4"/>
    <n v="3.8848490885546802E-6"/>
    <x v="1"/>
  </r>
  <r>
    <x v="273"/>
    <s v="TRUU"/>
    <n v="1E-4"/>
    <n v="2.9999999999999997E-4"/>
    <n v="969523"/>
    <n v="158921"/>
    <s v="Yes"/>
    <n v="12140000000"/>
    <n v="9.9970008997300822E-5"/>
    <n v="2.9991002699182394E-8"/>
    <x v="1"/>
  </r>
  <r>
    <x v="274"/>
    <s v="CaptainBNB"/>
    <n v="1.1000000000000001E-3"/>
    <n v="0.31359999999999999"/>
    <n v="969081"/>
    <n v="75946"/>
    <s v="Yes"/>
    <n v="864090000"/>
    <n v="8.3739342265529843E-4"/>
    <n v="2.6260657734470164E-4"/>
    <x v="1"/>
  </r>
  <r>
    <x v="275"/>
    <s v="WAR"/>
    <n v="1E-3"/>
    <n v="3.8399999999999997E-2"/>
    <n v="975625"/>
    <n v="931081"/>
    <s v="Yes"/>
    <n v="1000000000"/>
    <n v="9.6302003081664099E-4"/>
    <n v="3.6979969183359028E-5"/>
    <x v="1"/>
  </r>
  <r>
    <x v="276"/>
    <s v="STARL"/>
    <n v="7.9600000000000004E-2"/>
    <n v="9.5999999999999992E-3"/>
    <n v="961236"/>
    <n v="3285"/>
    <s v="Yes"/>
    <n v="9970000000000"/>
    <n v="7.8843106180665604E-2"/>
    <n v="7.5689381933440048E-4"/>
    <x v="1"/>
  </r>
  <r>
    <x v="277"/>
    <s v="ATR"/>
    <n v="8.0000000000000004E-4"/>
    <n v="3.3999999999999998E-3"/>
    <n v="958689"/>
    <n v="219377"/>
    <s v="Yes"/>
    <n v="1260000000"/>
    <n v="7.9728921666334456E-4"/>
    <n v="2.7107833366554757E-6"/>
    <x v="1"/>
  </r>
  <r>
    <x v="278"/>
    <s v="NTX"/>
    <n v="1.9E-3"/>
    <n v="1.8E-3"/>
    <n v="958512"/>
    <n v="79241"/>
    <s v="Yes"/>
    <n v="504080000"/>
    <n v="1.8965861449391096E-3"/>
    <n v="3.4138550608904354E-6"/>
    <x v="1"/>
  </r>
  <r>
    <x v="279"/>
    <s v="UNCX"/>
    <n v="20.47"/>
    <n v="0"/>
    <n v="954786"/>
    <n v="240"/>
    <s v="Yes"/>
    <n v="46640"/>
    <n v="20.47"/>
    <n v="0"/>
    <x v="0"/>
  </r>
  <r>
    <x v="280"/>
    <s v="PUSH"/>
    <n v="1.06E-2"/>
    <n v="2.8E-3"/>
    <n v="952933"/>
    <n v="253285"/>
    <s v="Yes"/>
    <n v="90230000"/>
    <n v="1.0570402871958517E-2"/>
    <n v="2.9597128041482929E-5"/>
    <x v="1"/>
  </r>
  <r>
    <x v="281"/>
    <s v="STRCon"/>
    <n v="93.97"/>
    <n v="1E-4"/>
    <n v="949515"/>
    <n v="317545"/>
    <s v="Yes"/>
    <n v="10100"/>
    <n v="93.960603939606045"/>
    <n v="9.3960603939535758E-3"/>
    <x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
  <r>
    <x v="0"/>
    <s v="CMC20"/>
    <n v="122.28"/>
    <n v="0"/>
    <n v="12717729"/>
    <n v="5017104"/>
    <x v="0"/>
  </r>
  <r>
    <x v="1"/>
    <s v="BTC"/>
    <n v="60968.85"/>
    <n v="5.9999999999999995E-4"/>
    <n v="1222307110742"/>
    <n v="67558459644"/>
    <x v="0"/>
  </r>
  <r>
    <x v="2"/>
    <s v="ETH"/>
    <n v="1573.61"/>
    <n v="1.2999999999999999E-3"/>
    <n v="189809648557"/>
    <n v="36178864935"/>
    <x v="0"/>
  </r>
  <r>
    <x v="3"/>
    <s v="USDT"/>
    <n v="0.99929999999999997"/>
    <n v="1E-4"/>
    <n v="187016155521"/>
    <n v="128822587010"/>
    <x v="1"/>
  </r>
  <r>
    <x v="4"/>
    <s v="BNB"/>
    <n v="578.54"/>
    <n v="3.5000000000000001E-3"/>
    <n v="77889548635"/>
    <n v="2533998725"/>
    <x v="0"/>
  </r>
  <r>
    <x v="5"/>
    <s v="USDC"/>
    <n v="0.99960000000000004"/>
    <n v="1E-4"/>
    <n v="75523419769"/>
    <n v="22902529346"/>
    <x v="1"/>
  </r>
  <r>
    <x v="6"/>
    <s v="XRP"/>
    <n v="1.0900000000000001"/>
    <n v="2.3999999999999998E-3"/>
    <n v="67738003484"/>
    <n v="3848897507"/>
    <x v="0"/>
  </r>
  <r>
    <x v="7"/>
    <s v="SOL"/>
    <n v="62.84"/>
    <n v="6.9999999999999999E-4"/>
    <n v="36358851579"/>
    <n v="5356898486"/>
    <x v="1"/>
  </r>
  <r>
    <x v="8"/>
    <s v="TRX"/>
    <n v="0.32100000000000001"/>
    <n v="8.0000000000000004E-4"/>
    <n v="30438649541"/>
    <n v="947082968"/>
    <x v="1"/>
  </r>
  <r>
    <x v="9"/>
    <s v="HYPE"/>
    <n v="59.86"/>
    <n v="1.03E-2"/>
    <n v="15164710261"/>
    <n v="1291024158"/>
    <x v="1"/>
  </r>
  <r>
    <x v="10"/>
    <s v="DOGE"/>
    <n v="8.1100000000000005E-2"/>
    <n v="2.8999999999999998E-3"/>
    <n v="12531182811"/>
    <n v="1790825480"/>
    <x v="0"/>
  </r>
  <r>
    <x v="11"/>
    <s v="LEO"/>
    <n v="9.61"/>
    <n v="5.0000000000000001E-4"/>
    <n v="8854268103"/>
    <n v="3832378"/>
    <x v="1"/>
  </r>
  <r>
    <x v="12"/>
    <s v="XLM"/>
    <n v="0.19620000000000001"/>
    <n v="5.1999999999999998E-3"/>
    <n v="6619168999"/>
    <n v="916226709"/>
    <x v="0"/>
  </r>
  <r>
    <x v="13"/>
    <s v="ZEC"/>
    <n v="383.84"/>
    <n v="3.5099999999999999E-2"/>
    <n v="6413297048"/>
    <n v="3017414794"/>
    <x v="0"/>
  </r>
  <r>
    <x v="14"/>
    <s v="CC"/>
    <n v="0.15060000000000001"/>
    <n v="6.6E-3"/>
    <n v="5833576479"/>
    <n v="27162323"/>
    <x v="1"/>
  </r>
  <r>
    <x v="15"/>
    <s v="CRV"/>
    <n v="0.18090000000000001"/>
    <n v="2.5000000000000001E-3"/>
    <n v="273900730"/>
    <n v="64467700"/>
    <x v="1"/>
  </r>
  <r>
    <x v="16"/>
    <s v="TIA"/>
    <n v="0.29780000000000001"/>
    <n v="7.7999999999999996E-3"/>
    <n v="274014139"/>
    <n v="45031935"/>
    <x v="1"/>
  </r>
  <r>
    <x v="17"/>
    <s v="SPX"/>
    <n v="0.28610000000000002"/>
    <n v="3.0000000000000001E-3"/>
    <n v="266357437"/>
    <n v="13854074"/>
    <x v="1"/>
  </r>
  <r>
    <x v="18"/>
    <s v="NFT"/>
    <n v="6.2700000000000006E-2"/>
    <n v="1.9E-3"/>
    <n v="264481802"/>
    <n v="12531234"/>
    <x v="1"/>
  </r>
  <r>
    <x v="19"/>
    <s v="BTT"/>
    <n v="6.2600000000000003E-2"/>
    <n v="6.1999999999999998E-3"/>
    <n v="261321974"/>
    <n v="11801193"/>
    <x v="0"/>
  </r>
  <r>
    <x v="20"/>
    <s v="XTZ"/>
    <n v="0.24060000000000001"/>
    <n v="5.8999999999999999E-3"/>
    <n v="261597532"/>
    <n v="21160459"/>
    <x v="0"/>
  </r>
  <r>
    <x v="21"/>
    <s v="CHZ"/>
    <n v="2.4500000000000001E-2"/>
    <n v="6.9999999999999999E-4"/>
    <n v="254959926"/>
    <n v="80182341"/>
    <x v="0"/>
  </r>
  <r>
    <x v="22"/>
    <s v="ETHFI"/>
    <n v="0.28649999999999998"/>
    <n v="9.1000000000000004E-3"/>
    <n v="252395264"/>
    <n v="55933141"/>
    <x v="1"/>
  </r>
  <r>
    <x v="23"/>
    <s v="IMX"/>
    <n v="0.12540000000000001"/>
    <n v="1E-4"/>
    <n v="250900826"/>
    <n v="24328657"/>
    <x v="0"/>
  </r>
  <r>
    <x v="24"/>
    <s v="JTO"/>
    <n v="0.51719999999999999"/>
    <n v="1.5900000000000001E-2"/>
    <n v="248179055"/>
    <n v="48228844"/>
    <x v="0"/>
  </r>
  <r>
    <x v="25"/>
    <s v="MON"/>
    <n v="2.0899999999999998E-2"/>
    <n v="8.0000000000000004E-4"/>
    <n v="247632562"/>
    <n v="87830456"/>
    <x v="1"/>
  </r>
  <r>
    <x v="26"/>
    <s v="PYTH"/>
    <n v="3.1399999999999997E-2"/>
    <n v="8.5000000000000006E-3"/>
    <n v="247031990"/>
    <n v="13164245"/>
    <x v="1"/>
  </r>
  <r>
    <x v="27"/>
    <s v="ZBCN"/>
    <n v="2.3999999999999998E-3"/>
    <n v="6.1000000000000004E-3"/>
    <n v="243283377"/>
    <n v="12663323"/>
    <x v="0"/>
  </r>
  <r>
    <x v="28"/>
    <s v="2Z"/>
    <n v="6.9599999999999995E-2"/>
    <n v="1.6999999999999999E-3"/>
    <n v="241466434"/>
    <n v="7123655"/>
    <x v="1"/>
  </r>
  <r>
    <x v="29"/>
    <s v="GNO"/>
    <n v="90.35"/>
    <n v="2.8E-3"/>
    <n v="238500300"/>
    <n v="8245189"/>
    <x v="1"/>
  </r>
  <r>
    <x v="30"/>
    <s v="RAIN"/>
    <n v="1.2999999999999999E-2"/>
    <n v="2.0000000000000001E-4"/>
    <n v="8117598746"/>
    <n v="50695389"/>
    <x v="1"/>
  </r>
  <r>
    <x v="31"/>
    <s v="LAB"/>
    <n v="9.32"/>
    <n v="3.4099999999999998E-2"/>
    <n v="2890106122"/>
    <n v="131356485"/>
    <x v="1"/>
  </r>
  <r>
    <x v="32"/>
    <s v="USDY"/>
    <n v="1.1299999999999999"/>
    <n v="1.6999999999999999E-3"/>
    <n v="2140253880"/>
    <n v="250723"/>
    <x v="0"/>
  </r>
  <r>
    <x v="33"/>
    <s v="HTX"/>
    <n v="5.1700000000000003E-2"/>
    <n v="1.1999999999999999E-3"/>
    <n v="1565068927"/>
    <n v="31262065"/>
    <x v="1"/>
  </r>
  <r>
    <x v="34"/>
    <s v="USDf"/>
    <n v="0.99639999999999995"/>
    <n v="5.9999999999999995E-4"/>
    <n v="1297731215"/>
    <n v="3375873"/>
    <x v="1"/>
  </r>
  <r>
    <x v="35"/>
    <s v="CTM"/>
    <n v="0.184"/>
    <n v="3.5000000000000001E-3"/>
    <n v="820728735"/>
    <n v="13299991"/>
    <x v="0"/>
  </r>
  <r>
    <x v="36"/>
    <s v="JLP"/>
    <n v="3.21"/>
    <n v="1E-4"/>
    <n v="714715192"/>
    <n v="14229959"/>
    <x v="1"/>
  </r>
  <r>
    <x v="37"/>
    <s v="BDX"/>
    <n v="7.8700000000000006E-2"/>
    <n v="5.4000000000000003E-3"/>
    <n v="609084813"/>
    <n v="10007774"/>
    <x v="0"/>
  </r>
  <r>
    <x v="38"/>
    <s v="GHO"/>
    <n v="0.99919999999999998"/>
    <n v="4.0000000000000002E-4"/>
    <n v="583570858"/>
    <n v="2244874"/>
    <x v="1"/>
  </r>
  <r>
    <x v="39"/>
    <s v="TBLLX"/>
    <n v="105.91"/>
    <n v="0"/>
    <n v="571672236"/>
    <n v="423"/>
    <x v="1"/>
  </r>
  <r>
    <x v="40"/>
    <s v="USX"/>
    <n v="1"/>
    <n v="2.9999999999999997E-4"/>
    <n v="491058984"/>
    <n v="312567119"/>
    <x v="1"/>
  </r>
  <r>
    <x v="41"/>
    <s v="USDGO"/>
    <n v="1"/>
    <n v="0"/>
    <n v="305808446"/>
    <n v="1874312"/>
    <x v="0"/>
  </r>
  <r>
    <x v="42"/>
    <s v="FRAX"/>
    <n v="0.9929"/>
    <n v="0"/>
    <n v="273892137"/>
    <n v="13849236"/>
    <x v="0"/>
  </r>
  <r>
    <x v="43"/>
    <s v="KMNO"/>
    <n v="1.4200000000000001E-2"/>
    <n v="6.1000000000000004E-3"/>
    <n v="67643803"/>
    <n v="5138075"/>
    <x v="0"/>
  </r>
  <r>
    <x v="44"/>
    <s v="KOX"/>
    <n v="79.25"/>
    <n v="2.0000000000000001E-4"/>
    <n v="67492922"/>
    <n v="1492"/>
    <x v="1"/>
  </r>
  <r>
    <x v="45"/>
    <s v="MY"/>
    <n v="6.8199999999999997E-2"/>
    <n v="1.55E-2"/>
    <n v="67243924"/>
    <n v="204652"/>
    <x v="1"/>
  </r>
  <r>
    <x v="46"/>
    <s v="IVVon"/>
    <n v="746.2"/>
    <n v="6.9999999999999999E-4"/>
    <n v="66999291"/>
    <n v="1091042"/>
    <x v="0"/>
  </r>
  <r>
    <x v="47"/>
    <s v="RVN"/>
    <n v="4.1000000000000003E-3"/>
    <n v="5.8999999999999999E-3"/>
    <n v="66960760"/>
    <n v="10832272"/>
    <x v="1"/>
  </r>
  <r>
    <x v="48"/>
    <s v="BERA"/>
    <n v="0.24160000000000001"/>
    <n v="1.8E-3"/>
    <n v="66707414"/>
    <n v="22230640"/>
    <x v="1"/>
  </r>
  <r>
    <x v="49"/>
    <s v="NILA"/>
    <n v="7.8200000000000006E-2"/>
    <n v="5.1999999999999998E-3"/>
    <n v="65908563"/>
    <n v="238851"/>
    <x v="0"/>
  </r>
  <r>
    <x v="50"/>
    <s v="AIOZ"/>
    <n v="5.2299999999999999E-2"/>
    <n v="1.5E-3"/>
    <n v="65765710"/>
    <n v="5958343"/>
    <x v="1"/>
  </r>
  <r>
    <x v="51"/>
    <s v="DRV"/>
    <n v="8.8999999999999996E-2"/>
    <n v="7.1000000000000004E-3"/>
    <n v="65648698"/>
    <n v="533716"/>
    <x v="1"/>
  </r>
  <r>
    <x v="52"/>
    <s v="HUMA"/>
    <n v="2.2599999999999999E-2"/>
    <n v="3.4299999999999997E-2"/>
    <n v="65583008"/>
    <n v="11639267"/>
    <x v="1"/>
  </r>
  <r>
    <x v="53"/>
    <s v="GEOD"/>
    <n v="0.1489"/>
    <n v="3.0000000000000001E-3"/>
    <n v="65371126"/>
    <n v="789243"/>
    <x v="0"/>
  </r>
  <r>
    <x v="54"/>
    <s v="KSM"/>
    <n v="3.56"/>
    <n v="5.4000000000000003E-3"/>
    <n v="65311608"/>
    <n v="15229544"/>
    <x v="1"/>
  </r>
  <r>
    <x v="55"/>
    <s v="CARDS"/>
    <n v="0.16170000000000001"/>
    <n v="9.5999999999999992E-3"/>
    <n v="64581629"/>
    <n v="6074209"/>
    <x v="1"/>
  </r>
  <r>
    <x v="56"/>
    <s v="IEMGx"/>
    <n v="80.22"/>
    <n v="0"/>
    <n v="64458178"/>
    <n v="680"/>
    <x v="1"/>
  </r>
  <r>
    <x v="57"/>
    <s v="PLUME"/>
    <n v="1.12E-2"/>
    <n v="5.4999999999999997E-3"/>
    <n v="64401807"/>
    <n v="24722387"/>
    <x v="0"/>
  </r>
  <r>
    <x v="58"/>
    <s v="AXL"/>
    <n v="4.1399999999999999E-2"/>
    <n v="1.8E-3"/>
    <n v="48952469"/>
    <n v="7896120"/>
    <x v="1"/>
  </r>
  <r>
    <x v="59"/>
    <s v="COPXx"/>
    <n v="80.5"/>
    <n v="0"/>
    <n v="48945358"/>
    <n v="380"/>
    <x v="1"/>
  </r>
  <r>
    <x v="60"/>
    <s v="TQQQX"/>
    <n v="74.400000000000006"/>
    <n v="9.4999999999999998E-3"/>
    <n v="48783089"/>
    <n v="17532"/>
    <x v="1"/>
  </r>
  <r>
    <x v="61"/>
    <s v="OMI"/>
    <n v="2.0000000000000001E-4"/>
    <n v="6.6E-3"/>
    <n v="48767797"/>
    <n v="985843"/>
    <x v="0"/>
  </r>
  <r>
    <x v="62"/>
    <s v="SUSHI"/>
    <n v="0.1699"/>
    <n v="1.1000000000000001E-3"/>
    <n v="48740328"/>
    <n v="15422449"/>
    <x v="0"/>
  </r>
  <r>
    <x v="63"/>
    <s v="TONXX"/>
    <n v="3.13"/>
    <n v="0"/>
    <n v="48697028"/>
    <n v="2438"/>
    <x v="1"/>
  </r>
  <r>
    <x v="64"/>
    <s v="ASTR"/>
    <n v="5.5999999999999999E-3"/>
    <n v="1.1000000000000001E-3"/>
    <n v="48455448"/>
    <n v="6358343"/>
    <x v="0"/>
  </r>
  <r>
    <x v="65"/>
    <s v="RON"/>
    <n v="6.2399999999999997E-2"/>
    <n v="1E-4"/>
    <n v="48212985"/>
    <n v="7637657"/>
    <x v="1"/>
  </r>
  <r>
    <x v="66"/>
    <s v="CTC"/>
    <n v="8.8700000000000001E-2"/>
    <n v="3.0000000000000001E-3"/>
    <n v="47938768"/>
    <n v="6086708"/>
    <x v="0"/>
  </r>
  <r>
    <x v="67"/>
    <s v="XAUM"/>
    <n v="4297.6899999999996"/>
    <n v="2.2000000000000001E-3"/>
    <n v="48139273"/>
    <n v="976085"/>
    <x v="1"/>
  </r>
  <r>
    <x v="68"/>
    <s v="JCT"/>
    <n v="4.1999999999999997E-3"/>
    <n v="1.54E-2"/>
    <n v="48119901"/>
    <n v="5545498"/>
    <x v="1"/>
  </r>
  <r>
    <x v="69"/>
    <s v="ALLO"/>
    <n v="0.23980000000000001"/>
    <n v="4.9399999999999999E-2"/>
    <n v="48090384"/>
    <n v="141536591"/>
    <x v="1"/>
  </r>
  <r>
    <x v="70"/>
    <s v="SERV"/>
    <n v="6.2199999999999998E-2"/>
    <n v="1.06E-2"/>
    <n v="47866357"/>
    <n v="1720458"/>
    <x v="1"/>
  </r>
  <r>
    <x v="71"/>
    <s v="IO"/>
    <n v="0.1376"/>
    <n v="5.4999999999999997E-3"/>
    <n v="47690084"/>
    <n v="48669769"/>
    <x v="1"/>
  </r>
  <r>
    <x v="72"/>
    <s v="AMP"/>
    <n v="5.0000000000000001E-4"/>
    <n v="6.3E-3"/>
    <n v="47484528"/>
    <n v="8718804"/>
    <x v="1"/>
  </r>
  <r>
    <x v="73"/>
    <s v="PROVE"/>
    <n v="0.18240000000000001"/>
    <n v="3.7000000000000002E-3"/>
    <n v="35571971"/>
    <n v="11440117"/>
    <x v="1"/>
  </r>
  <r>
    <x v="74"/>
    <s v="CUSD"/>
    <n v="0.99960000000000004"/>
    <n v="5.9999999999999995E-4"/>
    <n v="35541504"/>
    <n v="964372"/>
    <x v="0"/>
  </r>
  <r>
    <x v="75"/>
    <s v="MEME"/>
    <n v="5.9999999999999995E-4"/>
    <n v="1.9E-3"/>
    <n v="35282668"/>
    <n v="153322722"/>
    <x v="1"/>
  </r>
  <r>
    <x v="76"/>
    <s v="SN51"/>
    <n v="9.2200000000000006"/>
    <n v="9.7000000000000003E-3"/>
    <n v="35242668"/>
    <n v="92643"/>
    <x v="0"/>
  </r>
  <r>
    <x v="77"/>
    <s v="PEPX"/>
    <n v="145.52000000000001"/>
    <n v="0"/>
    <n v="35190489"/>
    <n v="296"/>
    <x v="1"/>
  </r>
  <r>
    <x v="78"/>
    <s v="MASK"/>
    <n v="0.34860000000000002"/>
    <n v="4.7999999999999996E-3"/>
    <n v="34868018"/>
    <n v="24332761"/>
    <x v="1"/>
  </r>
  <r>
    <x v="79"/>
    <s v="LUNA"/>
    <n v="4.9099999999999998E-2"/>
    <n v="5.7000000000000002E-3"/>
    <n v="34850619"/>
    <n v="13466730"/>
    <x v="0"/>
  </r>
  <r>
    <x v="80"/>
    <s v="IBMX"/>
    <n v="287.52999999999997"/>
    <n v="0"/>
    <n v="34702682"/>
    <n v="2098"/>
    <x v="1"/>
  </r>
  <r>
    <x v="81"/>
    <s v="GLIDR"/>
    <n v="0.97740000000000005"/>
    <n v="1.5E-3"/>
    <n v="34660676"/>
    <n v="126253"/>
    <x v="1"/>
  </r>
  <r>
    <x v="82"/>
    <s v="BACX"/>
    <n v="53.22"/>
    <n v="0"/>
    <n v="34637276"/>
    <n v="261"/>
    <x v="0"/>
  </r>
  <r>
    <x v="83"/>
    <s v="VAM"/>
    <n v="0.10150000000000001"/>
    <n v="2.3E-3"/>
    <n v="34482045"/>
    <n v="663357"/>
    <x v="1"/>
  </r>
  <r>
    <x v="84"/>
    <s v="WMTX"/>
    <n v="4.0300000000000002E-2"/>
    <n v="5.0000000000000001E-3"/>
    <n v="34371708"/>
    <n v="3227641"/>
    <x v="1"/>
  </r>
  <r>
    <x v="85"/>
    <s v="AEUR"/>
    <n v="1.1499999999999999"/>
    <n v="0"/>
    <n v="34343871"/>
    <n v="2365"/>
    <x v="1"/>
  </r>
  <r>
    <x v="86"/>
    <s v="MRVLon"/>
    <n v="270.39999999999998"/>
    <n v="3.3E-3"/>
    <n v="34210168"/>
    <n v="6613197"/>
    <x v="1"/>
  </r>
  <r>
    <x v="87"/>
    <s v="AVNT"/>
    <n v="0.1036"/>
    <n v="3.0999999999999999E-3"/>
    <n v="33577284"/>
    <n v="17174665"/>
    <x v="1"/>
  </r>
  <r>
    <x v="88"/>
    <s v="DBR"/>
    <n v="1.43E-2"/>
    <n v="7.1000000000000004E-3"/>
    <n v="27447371"/>
    <n v="10114476"/>
    <x v="0"/>
  </r>
  <r>
    <x v="89"/>
    <s v="COTI"/>
    <n v="9.5999999999999992E-3"/>
    <n v="1.4E-3"/>
    <n v="27409112"/>
    <n v="7348247"/>
    <x v="0"/>
  </r>
  <r>
    <x v="90"/>
    <s v="CLO"/>
    <n v="0.21240000000000001"/>
    <n v="3.3399999999999999E-2"/>
    <n v="27426748"/>
    <n v="20181798"/>
    <x v="0"/>
  </r>
  <r>
    <x v="91"/>
    <s v="BORA"/>
    <n v="2.4899999999999999E-2"/>
    <n v="2.2000000000000001E-3"/>
    <n v="27414034"/>
    <n v="717113"/>
    <x v="0"/>
  </r>
  <r>
    <x v="92"/>
    <s v="POWR"/>
    <n v="4.82E-2"/>
    <n v="2E-3"/>
    <n v="27358116"/>
    <n v="5196628"/>
    <x v="1"/>
  </r>
  <r>
    <x v="93"/>
    <s v="SHX"/>
    <n v="4.7000000000000002E-3"/>
    <n v="5.9999999999999995E-4"/>
    <n v="27336631"/>
    <n v="1141715"/>
    <x v="1"/>
  </r>
  <r>
    <x v="94"/>
    <s v="SLVon"/>
    <n v="61.39"/>
    <n v="1E-4"/>
    <n v="27206164"/>
    <n v="5734871"/>
    <x v="1"/>
  </r>
  <r>
    <x v="95"/>
    <s v="REZ"/>
    <n v="3.2000000000000002E-3"/>
    <n v="1.0200000000000001E-2"/>
    <n v="27190071"/>
    <n v="7967459"/>
    <x v="0"/>
  </r>
  <r>
    <x v="96"/>
    <s v="IOST"/>
    <n v="8.0000000000000004E-4"/>
    <n v="3.0000000000000001E-3"/>
    <n v="26972615"/>
    <n v="8526974"/>
    <x v="1"/>
  </r>
  <r>
    <x v="97"/>
    <s v="PARTI"/>
    <n v="4.9599999999999998E-2"/>
    <n v="1.6000000000000001E-3"/>
    <n v="26758957"/>
    <n v="33446308"/>
    <x v="1"/>
  </r>
  <r>
    <x v="98"/>
    <s v="SKL"/>
    <n v="4.3E-3"/>
    <n v="1.6000000000000001E-3"/>
    <n v="26557553"/>
    <n v="11262750"/>
    <x v="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s v="CMC20"/>
    <n v="122.28"/>
    <n v="0"/>
    <n v="12717729"/>
    <n v="5017104"/>
    <x v="0"/>
  </r>
  <r>
    <x v="1"/>
    <s v="BTC"/>
    <n v="60968.85"/>
    <n v="5.9999999999999995E-4"/>
    <n v="1222307110742"/>
    <n v="67558459644"/>
    <x v="0"/>
  </r>
  <r>
    <x v="2"/>
    <s v="ETH"/>
    <n v="1573.61"/>
    <n v="1.2999999999999999E-3"/>
    <n v="189809648557"/>
    <n v="36178864935"/>
    <x v="0"/>
  </r>
  <r>
    <x v="3"/>
    <s v="USDT"/>
    <n v="0.99929999999999997"/>
    <n v="1E-4"/>
    <n v="187016155521"/>
    <n v="128822587010"/>
    <x v="1"/>
  </r>
  <r>
    <x v="4"/>
    <s v="BNB"/>
    <n v="578.54"/>
    <n v="3.5000000000000001E-3"/>
    <n v="77889548635"/>
    <n v="2533998725"/>
    <x v="0"/>
  </r>
  <r>
    <x v="5"/>
    <s v="USDC"/>
    <n v="0.99960000000000004"/>
    <n v="1E-4"/>
    <n v="75523419769"/>
    <n v="22902529346"/>
    <x v="1"/>
  </r>
  <r>
    <x v="6"/>
    <s v="XRP"/>
    <n v="1.0900000000000001"/>
    <n v="2.3999999999999998E-3"/>
    <n v="67738003484"/>
    <n v="3848897507"/>
    <x v="0"/>
  </r>
  <r>
    <x v="7"/>
    <s v="SOL"/>
    <n v="62.84"/>
    <n v="6.9999999999999999E-4"/>
    <n v="36358851579"/>
    <n v="5356898486"/>
    <x v="1"/>
  </r>
  <r>
    <x v="8"/>
    <s v="TRX"/>
    <n v="0.32100000000000001"/>
    <n v="8.0000000000000004E-4"/>
    <n v="30438649541"/>
    <n v="947082968"/>
    <x v="1"/>
  </r>
  <r>
    <x v="9"/>
    <s v="HYPE"/>
    <n v="59.86"/>
    <n v="1.03E-2"/>
    <n v="15164710261"/>
    <n v="1291024158"/>
    <x v="1"/>
  </r>
  <r>
    <x v="10"/>
    <s v="DOGE"/>
    <n v="8.1100000000000005E-2"/>
    <n v="2.8999999999999998E-3"/>
    <n v="12531182811"/>
    <n v="1790825480"/>
    <x v="0"/>
  </r>
  <r>
    <x v="11"/>
    <s v="LEO"/>
    <n v="9.61"/>
    <n v="5.0000000000000001E-4"/>
    <n v="8854268103"/>
    <n v="3832378"/>
    <x v="1"/>
  </r>
  <r>
    <x v="12"/>
    <s v="XLM"/>
    <n v="0.19620000000000001"/>
    <n v="5.1999999999999998E-3"/>
    <n v="6619168999"/>
    <n v="916226709"/>
    <x v="0"/>
  </r>
  <r>
    <x v="13"/>
    <s v="ZEC"/>
    <n v="383.84"/>
    <n v="3.5099999999999999E-2"/>
    <n v="6413297048"/>
    <n v="3017414794"/>
    <x v="0"/>
  </r>
  <r>
    <x v="14"/>
    <s v="CC"/>
    <n v="0.15060000000000001"/>
    <n v="6.6E-3"/>
    <n v="5833576479"/>
    <n v="27162323"/>
    <x v="1"/>
  </r>
  <r>
    <x v="15"/>
    <s v="CRV"/>
    <n v="0.18090000000000001"/>
    <n v="2.5000000000000001E-3"/>
    <n v="273900730"/>
    <n v="64467700"/>
    <x v="1"/>
  </r>
  <r>
    <x v="16"/>
    <s v="TIA"/>
    <n v="0.29780000000000001"/>
    <n v="7.7999999999999996E-3"/>
    <n v="274014139"/>
    <n v="45031935"/>
    <x v="1"/>
  </r>
  <r>
    <x v="17"/>
    <s v="SPX"/>
    <n v="0.28610000000000002"/>
    <n v="3.0000000000000001E-3"/>
    <n v="266357437"/>
    <n v="13854074"/>
    <x v="1"/>
  </r>
  <r>
    <x v="18"/>
    <s v="NFT"/>
    <n v="6.2700000000000006E-2"/>
    <n v="1.9E-3"/>
    <n v="264481802"/>
    <n v="12531234"/>
    <x v="1"/>
  </r>
  <r>
    <x v="19"/>
    <s v="BTT"/>
    <n v="6.2600000000000003E-2"/>
    <n v="6.1999999999999998E-3"/>
    <n v="261321974"/>
    <n v="11801193"/>
    <x v="0"/>
  </r>
  <r>
    <x v="20"/>
    <s v="XTZ"/>
    <n v="0.24060000000000001"/>
    <n v="5.8999999999999999E-3"/>
    <n v="261597532"/>
    <n v="21160459"/>
    <x v="0"/>
  </r>
  <r>
    <x v="21"/>
    <s v="CHZ"/>
    <n v="2.4500000000000001E-2"/>
    <n v="6.9999999999999999E-4"/>
    <n v="254959926"/>
    <n v="80182341"/>
    <x v="0"/>
  </r>
  <r>
    <x v="22"/>
    <s v="ETHFI"/>
    <n v="0.28649999999999998"/>
    <n v="9.1000000000000004E-3"/>
    <n v="252395264"/>
    <n v="55933141"/>
    <x v="1"/>
  </r>
  <r>
    <x v="23"/>
    <s v="IMX"/>
    <n v="0.12540000000000001"/>
    <n v="1E-4"/>
    <n v="250900826"/>
    <n v="24328657"/>
    <x v="0"/>
  </r>
  <r>
    <x v="24"/>
    <s v="JTO"/>
    <n v="0.51719999999999999"/>
    <n v="1.5900000000000001E-2"/>
    <n v="248179055"/>
    <n v="48228844"/>
    <x v="0"/>
  </r>
  <r>
    <x v="25"/>
    <s v="MON"/>
    <n v="2.0899999999999998E-2"/>
    <n v="8.0000000000000004E-4"/>
    <n v="247632562"/>
    <n v="87830456"/>
    <x v="1"/>
  </r>
  <r>
    <x v="26"/>
    <s v="PYTH"/>
    <n v="3.1399999999999997E-2"/>
    <n v="8.5000000000000006E-3"/>
    <n v="247031990"/>
    <n v="13164245"/>
    <x v="1"/>
  </r>
  <r>
    <x v="27"/>
    <s v="ZBCN"/>
    <n v="2.3999999999999998E-3"/>
    <n v="6.1000000000000004E-3"/>
    <n v="243283377"/>
    <n v="12663323"/>
    <x v="0"/>
  </r>
  <r>
    <x v="28"/>
    <s v="2Z"/>
    <n v="6.9599999999999995E-2"/>
    <n v="1.6999999999999999E-3"/>
    <n v="241466434"/>
    <n v="7123655"/>
    <x v="1"/>
  </r>
  <r>
    <x v="29"/>
    <s v="GNO"/>
    <n v="90.35"/>
    <n v="2.8E-3"/>
    <n v="238500300"/>
    <n v="8245189"/>
    <x v="1"/>
  </r>
  <r>
    <x v="30"/>
    <s v="RAIN"/>
    <n v="1.2999999999999999E-2"/>
    <n v="2.0000000000000001E-4"/>
    <n v="8117598746"/>
    <n v="50695389"/>
    <x v="1"/>
  </r>
  <r>
    <x v="31"/>
    <s v="LAB"/>
    <n v="9.32"/>
    <n v="3.4099999999999998E-2"/>
    <n v="2890106122"/>
    <n v="131356485"/>
    <x v="1"/>
  </r>
  <r>
    <x v="32"/>
    <s v="USDY"/>
    <n v="1.1299999999999999"/>
    <n v="1.6999999999999999E-3"/>
    <n v="2140253880"/>
    <n v="250723"/>
    <x v="0"/>
  </r>
  <r>
    <x v="33"/>
    <s v="HTX"/>
    <n v="5.1700000000000003E-2"/>
    <n v="1.1999999999999999E-3"/>
    <n v="1565068927"/>
    <n v="31262065"/>
    <x v="1"/>
  </r>
  <r>
    <x v="34"/>
    <s v="USDf"/>
    <n v="0.99639999999999995"/>
    <n v="5.9999999999999995E-4"/>
    <n v="1297731215"/>
    <n v="3375873"/>
    <x v="1"/>
  </r>
  <r>
    <x v="35"/>
    <s v="CTM"/>
    <n v="0.184"/>
    <n v="3.5000000000000001E-3"/>
    <n v="820728735"/>
    <n v="13299991"/>
    <x v="0"/>
  </r>
  <r>
    <x v="36"/>
    <s v="JLP"/>
    <n v="3.21"/>
    <n v="1E-4"/>
    <n v="714715192"/>
    <n v="14229959"/>
    <x v="1"/>
  </r>
  <r>
    <x v="37"/>
    <s v="BDX"/>
    <n v="7.8700000000000006E-2"/>
    <n v="5.4000000000000003E-3"/>
    <n v="609084813"/>
    <n v="10007774"/>
    <x v="0"/>
  </r>
  <r>
    <x v="38"/>
    <s v="GHO"/>
    <n v="0.99919999999999998"/>
    <n v="4.0000000000000002E-4"/>
    <n v="583570858"/>
    <n v="2244874"/>
    <x v="1"/>
  </r>
  <r>
    <x v="39"/>
    <s v="TBLLX"/>
    <n v="105.91"/>
    <n v="0"/>
    <n v="571672236"/>
    <n v="423"/>
    <x v="1"/>
  </r>
  <r>
    <x v="40"/>
    <s v="USX"/>
    <n v="1"/>
    <n v="2.9999999999999997E-4"/>
    <n v="491058984"/>
    <n v="312567119"/>
    <x v="1"/>
  </r>
  <r>
    <x v="41"/>
    <s v="USDGO"/>
    <n v="1"/>
    <n v="0"/>
    <n v="305808446"/>
    <n v="1874312"/>
    <x v="0"/>
  </r>
  <r>
    <x v="42"/>
    <s v="FRAX"/>
    <n v="0.9929"/>
    <n v="0"/>
    <n v="273892137"/>
    <n v="13849236"/>
    <x v="0"/>
  </r>
  <r>
    <x v="43"/>
    <s v="KMNO"/>
    <n v="1.4200000000000001E-2"/>
    <n v="6.1000000000000004E-3"/>
    <n v="67643803"/>
    <n v="5138075"/>
    <x v="0"/>
  </r>
  <r>
    <x v="44"/>
    <s v="KOX"/>
    <n v="79.25"/>
    <n v="2.0000000000000001E-4"/>
    <n v="67492922"/>
    <n v="1492"/>
    <x v="1"/>
  </r>
  <r>
    <x v="45"/>
    <s v="MY"/>
    <n v="6.8199999999999997E-2"/>
    <n v="1.55E-2"/>
    <n v="67243924"/>
    <n v="204652"/>
    <x v="1"/>
  </r>
  <r>
    <x v="46"/>
    <s v="IVVon"/>
    <n v="746.2"/>
    <n v="6.9999999999999999E-4"/>
    <n v="66999291"/>
    <n v="1091042"/>
    <x v="0"/>
  </r>
  <r>
    <x v="47"/>
    <s v="RVN"/>
    <n v="4.1000000000000003E-3"/>
    <n v="5.8999999999999999E-3"/>
    <n v="66960760"/>
    <n v="10832272"/>
    <x v="1"/>
  </r>
  <r>
    <x v="48"/>
    <s v="BERA"/>
    <n v="0.24160000000000001"/>
    <n v="1.8E-3"/>
    <n v="66707414"/>
    <n v="22230640"/>
    <x v="1"/>
  </r>
  <r>
    <x v="49"/>
    <s v="NILA"/>
    <n v="7.8200000000000006E-2"/>
    <n v="5.1999999999999998E-3"/>
    <n v="65908563"/>
    <n v="238851"/>
    <x v="0"/>
  </r>
  <r>
    <x v="50"/>
    <s v="AIOZ"/>
    <n v="5.2299999999999999E-2"/>
    <n v="1.5E-3"/>
    <n v="65765710"/>
    <n v="5958343"/>
    <x v="1"/>
  </r>
  <r>
    <x v="51"/>
    <s v="DRV"/>
    <n v="8.8999999999999996E-2"/>
    <n v="7.1000000000000004E-3"/>
    <n v="65648698"/>
    <n v="533716"/>
    <x v="1"/>
  </r>
  <r>
    <x v="52"/>
    <s v="HUMA"/>
    <n v="2.2599999999999999E-2"/>
    <n v="3.4299999999999997E-2"/>
    <n v="65583008"/>
    <n v="11639267"/>
    <x v="1"/>
  </r>
  <r>
    <x v="53"/>
    <s v="GEOD"/>
    <n v="0.1489"/>
    <n v="3.0000000000000001E-3"/>
    <n v="65371126"/>
    <n v="789243"/>
    <x v="0"/>
  </r>
  <r>
    <x v="54"/>
    <s v="KSM"/>
    <n v="3.56"/>
    <n v="5.4000000000000003E-3"/>
    <n v="65311608"/>
    <n v="15229544"/>
    <x v="1"/>
  </r>
  <r>
    <x v="55"/>
    <s v="CARDS"/>
    <n v="0.16170000000000001"/>
    <n v="9.5999999999999992E-3"/>
    <n v="64581629"/>
    <n v="6074209"/>
    <x v="1"/>
  </r>
  <r>
    <x v="56"/>
    <s v="IEMGx"/>
    <n v="80.22"/>
    <n v="0"/>
    <n v="64458178"/>
    <n v="680"/>
    <x v="1"/>
  </r>
  <r>
    <x v="57"/>
    <s v="PLUME"/>
    <n v="1.12E-2"/>
    <n v="5.4999999999999997E-3"/>
    <n v="64401807"/>
    <n v="24722387"/>
    <x v="0"/>
  </r>
  <r>
    <x v="58"/>
    <s v="AXL"/>
    <n v="4.1399999999999999E-2"/>
    <n v="1.8E-3"/>
    <n v="48952469"/>
    <n v="7896120"/>
    <x v="1"/>
  </r>
  <r>
    <x v="59"/>
    <s v="COPXx"/>
    <n v="80.5"/>
    <n v="0"/>
    <n v="48945358"/>
    <n v="380"/>
    <x v="1"/>
  </r>
  <r>
    <x v="60"/>
    <s v="TQQQX"/>
    <n v="74.400000000000006"/>
    <n v="9.4999999999999998E-3"/>
    <n v="48783089"/>
    <n v="17532"/>
    <x v="1"/>
  </r>
  <r>
    <x v="61"/>
    <s v="OMI"/>
    <n v="2.0000000000000001E-4"/>
    <n v="6.6E-3"/>
    <n v="48767797"/>
    <n v="985843"/>
    <x v="0"/>
  </r>
  <r>
    <x v="62"/>
    <s v="SUSHI"/>
    <n v="0.1699"/>
    <n v="1.1000000000000001E-3"/>
    <n v="48740328"/>
    <n v="15422449"/>
    <x v="0"/>
  </r>
  <r>
    <x v="63"/>
    <s v="TONXX"/>
    <n v="3.13"/>
    <n v="0"/>
    <n v="48697028"/>
    <n v="2438"/>
    <x v="1"/>
  </r>
  <r>
    <x v="64"/>
    <s v="ASTR"/>
    <n v="5.5999999999999999E-3"/>
    <n v="1.1000000000000001E-3"/>
    <n v="48455448"/>
    <n v="6358343"/>
    <x v="0"/>
  </r>
  <r>
    <x v="65"/>
    <s v="RON"/>
    <n v="6.2399999999999997E-2"/>
    <n v="1E-4"/>
    <n v="48212985"/>
    <n v="7637657"/>
    <x v="1"/>
  </r>
  <r>
    <x v="66"/>
    <s v="CTC"/>
    <n v="8.8700000000000001E-2"/>
    <n v="3.0000000000000001E-3"/>
    <n v="47938768"/>
    <n v="6086708"/>
    <x v="0"/>
  </r>
  <r>
    <x v="67"/>
    <s v="XAUM"/>
    <n v="4297.6899999999996"/>
    <n v="2.2000000000000001E-3"/>
    <n v="48139273"/>
    <n v="976085"/>
    <x v="1"/>
  </r>
  <r>
    <x v="68"/>
    <s v="JCT"/>
    <n v="4.1999999999999997E-3"/>
    <n v="1.54E-2"/>
    <n v="48119901"/>
    <n v="5545498"/>
    <x v="1"/>
  </r>
  <r>
    <x v="69"/>
    <s v="ALLO"/>
    <n v="0.23980000000000001"/>
    <n v="4.9399999999999999E-2"/>
    <n v="48090384"/>
    <n v="141536591"/>
    <x v="1"/>
  </r>
  <r>
    <x v="70"/>
    <s v="SERV"/>
    <n v="6.2199999999999998E-2"/>
    <n v="1.06E-2"/>
    <n v="47866357"/>
    <n v="1720458"/>
    <x v="1"/>
  </r>
  <r>
    <x v="71"/>
    <s v="IO"/>
    <n v="0.1376"/>
    <n v="5.4999999999999997E-3"/>
    <n v="47690084"/>
    <n v="48669769"/>
    <x v="1"/>
  </r>
  <r>
    <x v="72"/>
    <s v="AMP"/>
    <n v="5.0000000000000001E-4"/>
    <n v="6.3E-3"/>
    <n v="47484528"/>
    <n v="8718804"/>
    <x v="1"/>
  </r>
  <r>
    <x v="73"/>
    <s v="PROVE"/>
    <n v="0.18240000000000001"/>
    <n v="3.7000000000000002E-3"/>
    <n v="35571971"/>
    <n v="11440117"/>
    <x v="1"/>
  </r>
  <r>
    <x v="74"/>
    <s v="CUSD"/>
    <n v="0.99960000000000004"/>
    <n v="5.9999999999999995E-4"/>
    <n v="35541504"/>
    <n v="964372"/>
    <x v="0"/>
  </r>
  <r>
    <x v="75"/>
    <s v="MEME"/>
    <n v="5.9999999999999995E-4"/>
    <n v="1.9E-3"/>
    <n v="35282668"/>
    <n v="153322722"/>
    <x v="1"/>
  </r>
  <r>
    <x v="76"/>
    <s v="SN51"/>
    <n v="9.2200000000000006"/>
    <n v="9.7000000000000003E-3"/>
    <n v="35242668"/>
    <n v="92643"/>
    <x v="0"/>
  </r>
  <r>
    <x v="77"/>
    <s v="PEPX"/>
    <n v="145.52000000000001"/>
    <n v="0"/>
    <n v="35190489"/>
    <n v="296"/>
    <x v="1"/>
  </r>
  <r>
    <x v="78"/>
    <s v="MASK"/>
    <n v="0.34860000000000002"/>
    <n v="4.7999999999999996E-3"/>
    <n v="34868018"/>
    <n v="24332761"/>
    <x v="1"/>
  </r>
  <r>
    <x v="79"/>
    <s v="LUNA"/>
    <n v="4.9099999999999998E-2"/>
    <n v="5.7000000000000002E-3"/>
    <n v="34850619"/>
    <n v="13466730"/>
    <x v="0"/>
  </r>
  <r>
    <x v="80"/>
    <s v="IBMX"/>
    <n v="287.52999999999997"/>
    <n v="0"/>
    <n v="34702682"/>
    <n v="2098"/>
    <x v="1"/>
  </r>
  <r>
    <x v="81"/>
    <s v="GLIDR"/>
    <n v="0.97740000000000005"/>
    <n v="1.5E-3"/>
    <n v="34660676"/>
    <n v="126253"/>
    <x v="1"/>
  </r>
  <r>
    <x v="82"/>
    <s v="BACX"/>
    <n v="53.22"/>
    <n v="0"/>
    <n v="34637276"/>
    <n v="261"/>
    <x v="0"/>
  </r>
  <r>
    <x v="83"/>
    <s v="VAM"/>
    <n v="0.10150000000000001"/>
    <n v="2.3E-3"/>
    <n v="34482045"/>
    <n v="663357"/>
    <x v="1"/>
  </r>
  <r>
    <x v="84"/>
    <s v="WMTX"/>
    <n v="4.0300000000000002E-2"/>
    <n v="5.0000000000000001E-3"/>
    <n v="34371708"/>
    <n v="3227641"/>
    <x v="1"/>
  </r>
  <r>
    <x v="85"/>
    <s v="AEUR"/>
    <n v="1.1499999999999999"/>
    <n v="0"/>
    <n v="34343871"/>
    <n v="2365"/>
    <x v="1"/>
  </r>
  <r>
    <x v="86"/>
    <s v="MRVLon"/>
    <n v="270.39999999999998"/>
    <n v="3.3E-3"/>
    <n v="34210168"/>
    <n v="6613197"/>
    <x v="1"/>
  </r>
  <r>
    <x v="87"/>
    <s v="AVNT"/>
    <n v="0.1036"/>
    <n v="3.0999999999999999E-3"/>
    <n v="33577284"/>
    <n v="17174665"/>
    <x v="1"/>
  </r>
  <r>
    <x v="88"/>
    <s v="DBR"/>
    <n v="1.43E-2"/>
    <n v="7.1000000000000004E-3"/>
    <n v="27447371"/>
    <n v="10114476"/>
    <x v="0"/>
  </r>
  <r>
    <x v="89"/>
    <s v="COTI"/>
    <n v="9.5999999999999992E-3"/>
    <n v="1.4E-3"/>
    <n v="27409112"/>
    <n v="7348247"/>
    <x v="0"/>
  </r>
  <r>
    <x v="90"/>
    <s v="CLO"/>
    <n v="0.21240000000000001"/>
    <n v="3.3399999999999999E-2"/>
    <n v="27426748"/>
    <n v="20181798"/>
    <x v="0"/>
  </r>
  <r>
    <x v="91"/>
    <s v="BORA"/>
    <n v="2.4899999999999999E-2"/>
    <n v="2.2000000000000001E-3"/>
    <n v="27414034"/>
    <n v="717113"/>
    <x v="0"/>
  </r>
  <r>
    <x v="92"/>
    <s v="POWR"/>
    <n v="4.82E-2"/>
    <n v="2E-3"/>
    <n v="27358116"/>
    <n v="5196628"/>
    <x v="1"/>
  </r>
  <r>
    <x v="93"/>
    <s v="SHX"/>
    <n v="4.7000000000000002E-3"/>
    <n v="5.9999999999999995E-4"/>
    <n v="27336631"/>
    <n v="1141715"/>
    <x v="1"/>
  </r>
  <r>
    <x v="94"/>
    <s v="SLVon"/>
    <n v="61.39"/>
    <n v="1E-4"/>
    <n v="27206164"/>
    <n v="5734871"/>
    <x v="1"/>
  </r>
  <r>
    <x v="95"/>
    <s v="REZ"/>
    <n v="3.2000000000000002E-3"/>
    <n v="1.0200000000000001E-2"/>
    <n v="27190071"/>
    <n v="7967459"/>
    <x v="0"/>
  </r>
  <r>
    <x v="96"/>
    <s v="IOST"/>
    <n v="8.0000000000000004E-4"/>
    <n v="3.0000000000000001E-3"/>
    <n v="26972615"/>
    <n v="8526974"/>
    <x v="1"/>
  </r>
  <r>
    <x v="97"/>
    <s v="PARTI"/>
    <n v="4.9599999999999998E-2"/>
    <n v="1.6000000000000001E-3"/>
    <n v="26758957"/>
    <n v="33446308"/>
    <x v="1"/>
  </r>
  <r>
    <x v="98"/>
    <s v="SKL"/>
    <n v="4.3E-3"/>
    <n v="1.6000000000000001E-3"/>
    <n v="26557553"/>
    <n v="11262750"/>
    <x v="1"/>
  </r>
  <r>
    <x v="99"/>
    <s v="MVL"/>
    <n v="1E-3"/>
    <n v="1E-4"/>
    <n v="26632085"/>
    <n v="162930"/>
    <x v="1"/>
  </r>
  <r>
    <x v="100"/>
    <s v="PEOPLE"/>
    <n v="5.1999999999999998E-3"/>
    <n v="5.3E-3"/>
    <n v="26477518"/>
    <n v="14910110"/>
    <x v="0"/>
  </r>
  <r>
    <x v="101"/>
    <s v="NEIRO"/>
    <n v="1E-4"/>
    <n v="8.3000000000000001E-3"/>
    <n v="26409629"/>
    <n v="20499571"/>
    <x v="0"/>
  </r>
  <r>
    <x v="102"/>
    <s v="PHA"/>
    <n v="3.1399999999999997E-2"/>
    <n v="3.5000000000000001E-3"/>
    <n v="26372850"/>
    <n v="29507980"/>
    <x v="0"/>
  </r>
  <r>
    <x v="103"/>
    <s v="MLK"/>
    <n v="3.6700000000000003E-2"/>
    <n v="3.3999999999999998E-3"/>
    <n v="20326153"/>
    <n v="10935053"/>
    <x v="1"/>
  </r>
  <r>
    <x v="104"/>
    <s v="LSK"/>
    <n v="9.3100000000000002E-2"/>
    <n v="9.7999999999999997E-3"/>
    <n v="20417450"/>
    <n v="5942228"/>
    <x v="1"/>
  </r>
  <r>
    <x v="105"/>
    <s v="CTSI"/>
    <n v="2.1999999999999999E-2"/>
    <n v="6.3E-3"/>
    <n v="20405058"/>
    <n v="1649753"/>
    <x v="0"/>
  </r>
  <r>
    <x v="106"/>
    <s v="SIGN"/>
    <n v="8.8000000000000005E-3"/>
    <n v="8.9999999999999993E-3"/>
    <n v="20204618"/>
    <n v="5619700"/>
    <x v="0"/>
  </r>
  <r>
    <x v="107"/>
    <s v="QANX"/>
    <n v="1.12E-2"/>
    <n v="3.0999999999999999E-3"/>
    <n v="20143761"/>
    <n v="190635"/>
    <x v="1"/>
  </r>
  <r>
    <x v="108"/>
    <s v="DOGS"/>
    <n v="0"/>
    <n v="5.7999999999999996E-3"/>
    <n v="19985403"/>
    <n v="9122261"/>
    <x v="0"/>
  </r>
  <r>
    <x v="109"/>
    <s v="TRUTH"/>
    <n v="9.5999999999999992E-3"/>
    <n v="4.1000000000000003E-3"/>
    <n v="19987317"/>
    <n v="2678643"/>
    <x v="1"/>
  </r>
  <r>
    <x v="110"/>
    <s v="CTK"/>
    <n v="0.1246"/>
    <n v="2.8999999999999998E-3"/>
    <n v="19938291"/>
    <n v="1304831"/>
    <x v="1"/>
  </r>
  <r>
    <x v="111"/>
    <s v="SATS"/>
    <n v="8.9399999999999993E-2"/>
    <n v="7.3000000000000001E-3"/>
    <n v="19724997"/>
    <n v="6369318"/>
    <x v="0"/>
  </r>
  <r>
    <x v="112"/>
    <s v="SENTIS"/>
    <n v="9.5299999999999996E-2"/>
    <n v="5.3E-3"/>
    <n v="19671495"/>
    <n v="3521775"/>
    <x v="0"/>
  </r>
  <r>
    <x v="113"/>
    <s v="BREV"/>
    <n v="7.8600000000000003E-2"/>
    <n v="2.2000000000000001E-3"/>
    <n v="19644485"/>
    <n v="17968849"/>
    <x v="1"/>
  </r>
  <r>
    <x v="114"/>
    <s v="GCB"/>
    <n v="1.6299999999999999E-2"/>
    <n v="2.0000000000000001E-4"/>
    <n v="19608820"/>
    <n v="587"/>
    <x v="0"/>
  </r>
  <r>
    <x v="115"/>
    <s v="BLAST"/>
    <n v="2.9999999999999997E-4"/>
    <n v="2.0999999999999999E-3"/>
    <n v="19539309"/>
    <n v="4105623"/>
    <x v="1"/>
  </r>
  <r>
    <x v="116"/>
    <s v="PMT"/>
    <n v="0.1074"/>
    <n v="3.0000000000000001E-3"/>
    <n v="19557870"/>
    <n v="292241"/>
    <x v="0"/>
  </r>
  <r>
    <x v="117"/>
    <s v="WXT"/>
    <n v="2E-3"/>
    <n v="3.0999999999999999E-3"/>
    <n v="19503399"/>
    <n v="298211"/>
    <x v="1"/>
  </r>
  <r>
    <x v="118"/>
    <s v="DIA"/>
    <n v="0.12470000000000001"/>
    <n v="8.0000000000000004E-4"/>
    <n v="14925074"/>
    <n v="6722721"/>
    <x v="1"/>
  </r>
  <r>
    <x v="119"/>
    <s v="AOP"/>
    <n v="3.3399999999999999E-2"/>
    <n v="1.4E-3"/>
    <n v="14897239"/>
    <n v="1487247"/>
    <x v="1"/>
  </r>
  <r>
    <x v="120"/>
    <s v="CHR"/>
    <n v="1.5299999999999999E-2"/>
    <n v="1.4E-3"/>
    <n v="14890542"/>
    <n v="3496389"/>
    <x v="1"/>
  </r>
  <r>
    <x v="121"/>
    <s v="ADS"/>
    <n v="0.38379999999999997"/>
    <n v="6.9999999999999999E-4"/>
    <n v="14873557"/>
    <n v="276017"/>
    <x v="1"/>
  </r>
  <r>
    <x v="122"/>
    <s v="DORA"/>
    <n v="1.4999999999999999E-2"/>
    <n v="2.0000000000000001E-4"/>
    <n v="14833009"/>
    <n v="317570"/>
    <x v="0"/>
  </r>
  <r>
    <x v="123"/>
    <s v="XSGD"/>
    <n v="0.77349999999999997"/>
    <n v="2.0000000000000001E-4"/>
    <n v="14799300"/>
    <n v="584771"/>
    <x v="0"/>
  </r>
  <r>
    <x v="124"/>
    <s v="MOVR"/>
    <n v="1.22"/>
    <n v="1.9E-3"/>
    <n v="14720066"/>
    <n v="5079060"/>
    <x v="1"/>
  </r>
  <r>
    <x v="125"/>
    <s v="BTRST"/>
    <n v="6.0999999999999999E-2"/>
    <n v="1.1000000000000001E-3"/>
    <n v="14733125"/>
    <n v="43424"/>
    <x v="0"/>
  </r>
  <r>
    <x v="126"/>
    <s v="EDEN"/>
    <n v="3.9300000000000002E-2"/>
    <n v="3.3E-3"/>
    <n v="14772184"/>
    <n v="9672793"/>
    <x v="0"/>
  </r>
  <r>
    <x v="127"/>
    <s v="USDM"/>
    <n v="0.99929999999999997"/>
    <n v="4.4000000000000003E-3"/>
    <n v="14656962"/>
    <n v="2444956"/>
    <x v="0"/>
  </r>
  <r>
    <x v="128"/>
    <s v="ORDER"/>
    <n v="3.7600000000000001E-2"/>
    <n v="9.1999999999999998E-3"/>
    <n v="14598411"/>
    <n v="7529695"/>
    <x v="1"/>
  </r>
  <r>
    <x v="129"/>
    <s v="BASED"/>
    <n v="6.2100000000000002E-2"/>
    <n v="5.4999999999999997E-3"/>
    <n v="14592444"/>
    <n v="26677895"/>
    <x v="0"/>
  </r>
  <r>
    <x v="130"/>
    <s v="SLND"/>
    <n v="0.1452"/>
    <n v="4.0000000000000002E-4"/>
    <n v="14526085"/>
    <n v="421"/>
    <x v="1"/>
  </r>
  <r>
    <x v="131"/>
    <s v="ISLM"/>
    <n v="6.6E-3"/>
    <n v="4.0000000000000002E-4"/>
    <n v="14515905"/>
    <n v="22436"/>
    <x v="1"/>
  </r>
  <r>
    <x v="132"/>
    <s v="ACU"/>
    <n v="6.6600000000000006E-2"/>
    <n v="7.3000000000000001E-3"/>
    <n v="14454094"/>
    <n v="4178483"/>
    <x v="1"/>
  </r>
  <r>
    <x v="133"/>
    <s v="HMSTR"/>
    <n v="2.0000000000000001E-4"/>
    <n v="3.7900000000000003E-2"/>
    <n v="11503225"/>
    <n v="20158304"/>
    <x v="0"/>
  </r>
  <r>
    <x v="134"/>
    <s v="LUMIA"/>
    <n v="8.1000000000000003E-2"/>
    <n v="1.2999999999999999E-3"/>
    <n v="11411815"/>
    <n v="2338940"/>
    <x v="1"/>
  </r>
  <r>
    <x v="135"/>
    <s v="VELO"/>
    <n v="1.2500000000000001E-2"/>
    <n v="7.0000000000000001E-3"/>
    <n v="11409466"/>
    <n v="4656295"/>
    <x v="1"/>
  </r>
  <r>
    <x v="136"/>
    <s v="ELSA"/>
    <n v="4.4400000000000002E-2"/>
    <n v="4.7000000000000002E-3"/>
    <n v="11358145"/>
    <n v="7546892"/>
    <x v="1"/>
  </r>
  <r>
    <x v="137"/>
    <s v="TIPon"/>
    <n v="112.74"/>
    <n v="8.0000000000000004E-4"/>
    <n v="11296373"/>
    <n v="523823"/>
    <x v="0"/>
  </r>
  <r>
    <x v="138"/>
    <s v="OGN"/>
    <n v="1.7000000000000001E-2"/>
    <n v="2.3E-3"/>
    <n v="11289173"/>
    <n v="1811450"/>
    <x v="0"/>
  </r>
  <r>
    <x v="139"/>
    <s v="FAR"/>
    <n v="2.3E-3"/>
    <n v="0"/>
    <n v="11211988"/>
    <n v="125431"/>
    <x v="1"/>
  </r>
  <r>
    <x v="140"/>
    <s v="PROMPT"/>
    <n v="2.4199999999999999E-2"/>
    <n v="1.03E-2"/>
    <n v="11175592"/>
    <n v="5818093"/>
    <x v="0"/>
  </r>
  <r>
    <x v="141"/>
    <s v="SDEX"/>
    <n v="1.1000000000000001E-3"/>
    <n v="0"/>
    <n v="11146264"/>
    <n v="401488"/>
    <x v="0"/>
  </r>
  <r>
    <x v="142"/>
    <s v="WAN"/>
    <n v="5.6000000000000001E-2"/>
    <n v="1.5599999999999999E-2"/>
    <n v="11139126"/>
    <n v="5611958"/>
    <x v="1"/>
  </r>
  <r>
    <x v="143"/>
    <s v="BLEND"/>
    <n v="5.5800000000000002E-2"/>
    <n v="1.12E-2"/>
    <n v="11158832"/>
    <n v="24535332"/>
    <x v="1"/>
  </r>
  <r>
    <x v="144"/>
    <s v="MWXT"/>
    <n v="6.6199999999999995E-2"/>
    <n v="3.8E-3"/>
    <n v="11117508"/>
    <n v="466868"/>
    <x v="1"/>
  </r>
  <r>
    <x v="145"/>
    <s v="AURA"/>
    <n v="1.15E-2"/>
    <n v="8.6E-3"/>
    <n v="11112982"/>
    <n v="1047391"/>
    <x v="1"/>
  </r>
  <r>
    <x v="146"/>
    <s v="CAT"/>
    <n v="5.1499999999999997E-2"/>
    <n v="8.8000000000000005E-3"/>
    <n v="11103572"/>
    <n v="3083581"/>
    <x v="0"/>
  </r>
  <r>
    <x v="147"/>
    <s v="L3"/>
    <n v="7.1000000000000004E-3"/>
    <n v="1.9E-2"/>
    <n v="8793079"/>
    <n v="5621560"/>
    <x v="0"/>
  </r>
  <r>
    <x v="148"/>
    <s v="PYR"/>
    <n v="0.19439999999999999"/>
    <n v="1.0699999999999999E-2"/>
    <n v="8794426"/>
    <n v="4788243"/>
    <x v="0"/>
  </r>
  <r>
    <x v="149"/>
    <s v="ACE"/>
    <n v="8.5999999999999993E-2"/>
    <n v="8.3000000000000001E-3"/>
    <n v="8751283"/>
    <n v="62576912"/>
    <x v="1"/>
  </r>
  <r>
    <x v="150"/>
    <s v="HAEDAL"/>
    <n v="2.06E-2"/>
    <n v="1.7299999999999999E-2"/>
    <n v="8740988"/>
    <n v="7948331"/>
    <x v="1"/>
  </r>
  <r>
    <x v="151"/>
    <s v="TRUST"/>
    <n v="4.8800000000000003E-2"/>
    <n v="1.12E-2"/>
    <n v="8770259"/>
    <n v="2389955"/>
    <x v="1"/>
  </r>
  <r>
    <x v="152"/>
    <s v="FHE"/>
    <n v="1.6899999999999998E-2"/>
    <n v="2.0799999999999999E-2"/>
    <n v="8734559"/>
    <n v="5690255"/>
    <x v="0"/>
  </r>
  <r>
    <x v="153"/>
    <s v="THE"/>
    <n v="6.5799999999999997E-2"/>
    <n v="6.7000000000000002E-3"/>
    <n v="8726562"/>
    <n v="5788007"/>
    <x v="1"/>
  </r>
  <r>
    <x v="154"/>
    <s v="HEI"/>
    <n v="0.1002"/>
    <n v="9.9000000000000008E-3"/>
    <n v="8846993"/>
    <n v="39800165"/>
    <x v="1"/>
  </r>
  <r>
    <x v="155"/>
    <s v="ANTHROPIC"/>
    <n v="899.55"/>
    <n v="6.3E-3"/>
    <n v="8595164"/>
    <n v="307802"/>
    <x v="1"/>
  </r>
  <r>
    <x v="156"/>
    <s v="XU3O8"/>
    <n v="5.34"/>
    <n v="1E-4"/>
    <n v="8547463"/>
    <n v="713174"/>
    <x v="0"/>
  </r>
  <r>
    <x v="157"/>
    <s v="TGC"/>
    <n v="0.11070000000000001"/>
    <n v="1.6500000000000001E-2"/>
    <n v="8524268"/>
    <n v="29287"/>
    <x v="0"/>
  </r>
  <r>
    <x v="158"/>
    <s v="PBTC"/>
    <n v="0.43880000000000002"/>
    <n v="2.8999999999999998E-3"/>
    <n v="8474846"/>
    <n v="125236"/>
    <x v="1"/>
  </r>
  <r>
    <x v="159"/>
    <s v="ALCX"/>
    <n v="3.36"/>
    <n v="6.1999999999999998E-3"/>
    <n v="8490917"/>
    <n v="1312642"/>
    <x v="0"/>
  </r>
  <r>
    <x v="160"/>
    <s v="TUT"/>
    <n v="0.01"/>
    <n v="1.0800000000000001E-2"/>
    <n v="8350740"/>
    <n v="13913684"/>
    <x v="1"/>
  </r>
  <r>
    <x v="161"/>
    <s v="4"/>
    <n v="8.3999999999999995E-3"/>
    <n v="8.6999999999999994E-3"/>
    <n v="8363116"/>
    <n v="7297130"/>
    <x v="0"/>
  </r>
  <r>
    <x v="162"/>
    <s v="BGSC"/>
    <n v="6.9999999999999999E-4"/>
    <n v="6.1999999999999998E-3"/>
    <n v="6448383"/>
    <n v="485717"/>
    <x v="0"/>
  </r>
  <r>
    <x v="163"/>
    <s v="GTC"/>
    <n v="7.3300000000000004E-2"/>
    <n v="3.0999999999999999E-3"/>
    <n v="6415469"/>
    <n v="5112067"/>
    <x v="1"/>
  </r>
  <r>
    <x v="164"/>
    <s v="AMO"/>
    <n v="2.9999999999999997E-4"/>
    <n v="0"/>
    <n v="6404757"/>
    <n v="29171"/>
    <x v="1"/>
  </r>
  <r>
    <x v="165"/>
    <s v="OXYon"/>
    <n v="57.43"/>
    <n v="1.6000000000000001E-3"/>
    <n v="6399426"/>
    <n v="1168478"/>
    <x v="1"/>
  </r>
  <r>
    <x v="166"/>
    <s v="FIGHT"/>
    <n v="3.0999999999999999E-3"/>
    <n v="1.5900000000000001E-2"/>
    <n v="6417718"/>
    <n v="3626628"/>
    <x v="0"/>
  </r>
  <r>
    <x v="167"/>
    <s v="OGY"/>
    <n v="8.0000000000000004E-4"/>
    <n v="2.0000000000000001E-4"/>
    <n v="6388227"/>
    <n v="215386"/>
    <x v="1"/>
  </r>
  <r>
    <x v="168"/>
    <s v="SAVE"/>
    <n v="0.13980000000000001"/>
    <n v="5.0000000000000001E-4"/>
    <n v="6386513"/>
    <n v="824"/>
    <x v="1"/>
  </r>
  <r>
    <x v="169"/>
    <s v="GRIN"/>
    <n v="2.7400000000000001E-2"/>
    <n v="2.3999999999999998E-3"/>
    <n v="6375652"/>
    <n v="6397"/>
    <x v="0"/>
  </r>
  <r>
    <x v="170"/>
    <s v="BKN"/>
    <n v="7.85E-2"/>
    <n v="5.0000000000000001E-4"/>
    <n v="6329637"/>
    <n v="118991"/>
    <x v="0"/>
  </r>
  <r>
    <x v="171"/>
    <s v="APU"/>
    <n v="0"/>
    <n v="4.0000000000000001E-3"/>
    <n v="6318371"/>
    <n v="224602"/>
    <x v="0"/>
  </r>
  <r>
    <x v="172"/>
    <s v="BTR"/>
    <n v="1.9E-2"/>
    <n v="4.3700000000000003E-2"/>
    <n v="6337889"/>
    <n v="2664811"/>
    <x v="1"/>
  </r>
  <r>
    <x v="173"/>
    <s v="RESOLV"/>
    <n v="1.6400000000000001E-2"/>
    <n v="7.7999999999999996E-3"/>
    <n v="6309198"/>
    <n v="8594550"/>
    <x v="0"/>
  </r>
  <r>
    <x v="174"/>
    <s v="NIZA"/>
    <n v="3.8999999999999998E-3"/>
    <n v="1.4E-3"/>
    <n v="6311340"/>
    <n v="228048"/>
    <x v="1"/>
  </r>
  <r>
    <x v="175"/>
    <s v="MAVIA"/>
    <n v="2.5499999999999998E-2"/>
    <n v="1.4800000000000001E-2"/>
    <n v="6306281"/>
    <n v="1184339"/>
    <x v="0"/>
  </r>
  <r>
    <x v="176"/>
    <s v="SPACEX"/>
    <n v="715.16"/>
    <n v="1E-3"/>
    <n v="6252612"/>
    <n v="429359"/>
    <x v="0"/>
  </r>
  <r>
    <x v="177"/>
    <s v="JUV"/>
    <n v="0.32790000000000002"/>
    <n v="2.0999999999999999E-3"/>
    <n v="5103175"/>
    <n v="8590627"/>
    <x v="0"/>
  </r>
  <r>
    <x v="178"/>
    <s v="CITY"/>
    <n v="0.37830000000000003"/>
    <n v="2.0199999999999999E-2"/>
    <n v="5101302"/>
    <n v="6658670"/>
    <x v="0"/>
  </r>
  <r>
    <x v="179"/>
    <s v="NOBODY"/>
    <n v="5.4000000000000003E-3"/>
    <n v="8.0999999999999996E-3"/>
    <n v="5072302"/>
    <n v="490438"/>
    <x v="1"/>
  </r>
  <r>
    <x v="180"/>
    <s v="SPARKLET"/>
    <n v="1.9E-2"/>
    <n v="2.9999999999999997E-4"/>
    <n v="5063868"/>
    <n v="164930"/>
    <x v="0"/>
  </r>
  <r>
    <x v="181"/>
    <s v="雪球"/>
    <n v="8.8999999999999999E-3"/>
    <n v="8.3999999999999995E-3"/>
    <n v="5001116"/>
    <n v="169770"/>
    <x v="1"/>
  </r>
  <r>
    <x v="182"/>
    <s v="ALTSZN"/>
    <n v="5.0000000000000001E-3"/>
    <n v="4.48E-2"/>
    <n v="4963366"/>
    <n v="2738594"/>
    <x v="0"/>
  </r>
  <r>
    <x v="183"/>
    <s v="PKOIN"/>
    <n v="0.35610000000000003"/>
    <n v="0"/>
    <n v="4959267"/>
    <n v="40175"/>
    <x v="0"/>
  </r>
  <r>
    <x v="184"/>
    <s v="NOM"/>
    <n v="1.6999999999999999E-3"/>
    <n v="5.4000000000000003E-3"/>
    <n v="4946179"/>
    <n v="12375480"/>
    <x v="0"/>
  </r>
  <r>
    <x v="185"/>
    <s v="USDR"/>
    <n v="0.7026"/>
    <n v="1.18E-2"/>
    <n v="4931501"/>
    <n v="24261"/>
    <x v="1"/>
  </r>
  <r>
    <x v="186"/>
    <s v="ANON"/>
    <n v="0.35560000000000003"/>
    <n v="4.0000000000000002E-4"/>
    <n v="4929814"/>
    <n v="584219"/>
    <x v="1"/>
  </r>
  <r>
    <x v="187"/>
    <s v="LLYon"/>
    <n v="1127.72"/>
    <n v="8.9999999999999998E-4"/>
    <n v="4912670"/>
    <n v="3519520"/>
    <x v="1"/>
  </r>
  <r>
    <x v="188"/>
    <s v="MIM"/>
    <n v="2.0000000000000001E-4"/>
    <n v="3.8E-3"/>
    <n v="4905997"/>
    <n v="64300"/>
    <x v="1"/>
  </r>
  <r>
    <x v="189"/>
    <s v="SOLV"/>
    <n v="3.3E-3"/>
    <n v="2.8999999999999998E-3"/>
    <n v="4896055"/>
    <n v="7528812"/>
    <x v="1"/>
  </r>
  <r>
    <x v="190"/>
    <s v="NFP"/>
    <n v="8.3000000000000001E-3"/>
    <n v="3.2500000000000001E-2"/>
    <n v="4876890"/>
    <n v="38307907"/>
    <x v="1"/>
  </r>
  <r>
    <x v="191"/>
    <s v="STRIKE"/>
    <n v="1.89E-2"/>
    <n v="1.9400000000000001E-2"/>
    <n v="3976367"/>
    <n v="217259"/>
    <x v="1"/>
  </r>
  <r>
    <x v="192"/>
    <s v="KLV"/>
    <n v="4.0000000000000002E-4"/>
    <n v="7.7499999999999999E-2"/>
    <n v="3972245"/>
    <n v="378834"/>
    <x v="1"/>
  </r>
  <r>
    <x v="193"/>
    <s v="MBOX"/>
    <n v="7.1999999999999998E-3"/>
    <n v="1.4999999999999999E-2"/>
    <n v="3974558"/>
    <n v="32371110"/>
    <x v="0"/>
  </r>
  <r>
    <x v="194"/>
    <s v="BTX"/>
    <n v="1.7600000000000001E-2"/>
    <n v="4.0000000000000002E-4"/>
    <n v="3967959"/>
    <n v="852975"/>
    <x v="0"/>
  </r>
  <r>
    <x v="195"/>
    <s v="SWELL"/>
    <n v="8.0000000000000004E-4"/>
    <n v="7.6E-3"/>
    <n v="3941581"/>
    <n v="8521023"/>
    <x v="1"/>
  </r>
  <r>
    <x v="196"/>
    <s v="IHC"/>
    <n v="0"/>
    <n v="2.3E-3"/>
    <n v="3919929"/>
    <n v="6403"/>
    <x v="1"/>
  </r>
  <r>
    <x v="197"/>
    <s v="PUSS"/>
    <n v="4.4000000000000003E-3"/>
    <n v="8.0000000000000004E-4"/>
    <n v="3905453"/>
    <n v="995138"/>
    <x v="1"/>
  </r>
  <r>
    <x v="198"/>
    <s v="MANYU"/>
    <n v="8.3900000000000002E-2"/>
    <n v="5.9999999999999995E-4"/>
    <n v="3884725"/>
    <n v="2597815"/>
    <x v="0"/>
  </r>
  <r>
    <x v="199"/>
    <s v="BLZ"/>
    <n v="8.2000000000000007E-3"/>
    <n v="7.1000000000000004E-3"/>
    <n v="3882095"/>
    <n v="207968"/>
    <x v="1"/>
  </r>
  <r>
    <x v="200"/>
    <s v="PTB"/>
    <n v="5.9999999999999995E-4"/>
    <n v="1.7500000000000002E-2"/>
    <n v="3869077"/>
    <n v="1872715"/>
    <x v="0"/>
  </r>
  <r>
    <x v="201"/>
    <s v="AFC"/>
    <n v="0.17349999999999999"/>
    <n v="4.3E-3"/>
    <n v="3878272"/>
    <n v="1740419"/>
    <x v="1"/>
  </r>
  <r>
    <x v="202"/>
    <s v="HOODon"/>
    <n v="80.25"/>
    <n v="4.3E-3"/>
    <n v="3861791"/>
    <n v="2343933"/>
    <x v="0"/>
  </r>
  <r>
    <x v="203"/>
    <s v="UBT"/>
    <n v="2.5700000000000001E-2"/>
    <n v="9.5999999999999992E-3"/>
    <n v="3856893"/>
    <n v="1776"/>
    <x v="0"/>
  </r>
  <r>
    <x v="204"/>
    <s v="$PURPE"/>
    <n v="5.9200000000000003E-2"/>
    <n v="1.5E-3"/>
    <n v="3856893"/>
    <n v="401875"/>
    <x v="1"/>
  </r>
  <r>
    <x v="205"/>
    <s v="EAT"/>
    <n v="1.4500000000000001E-2"/>
    <n v="1.4E-3"/>
    <n v="3083850"/>
    <n v="182797"/>
    <x v="0"/>
  </r>
  <r>
    <x v="206"/>
    <s v="DEOD"/>
    <n v="6.6E-3"/>
    <n v="2.5999999999999999E-3"/>
    <n v="3064880"/>
    <n v="302690"/>
    <x v="0"/>
  </r>
  <r>
    <x v="207"/>
    <s v="GHST"/>
    <n v="5.8099999999999999E-2"/>
    <n v="2.9999999999999997E-4"/>
    <n v="3063211"/>
    <n v="217674"/>
    <x v="0"/>
  </r>
  <r>
    <x v="208"/>
    <s v="ZEX"/>
    <n v="1.6199999999999999E-2"/>
    <n v="1.1999999999999999E-3"/>
    <n v="3045908"/>
    <n v="51982"/>
    <x v="0"/>
  </r>
  <r>
    <x v="209"/>
    <s v="ARENA"/>
    <n v="5.0000000000000001E-4"/>
    <n v="7.9000000000000008E-3"/>
    <n v="3038724"/>
    <n v="34550"/>
    <x v="1"/>
  </r>
  <r>
    <x v="210"/>
    <s v="NODL"/>
    <n v="5.0000000000000001E-4"/>
    <n v="1.6299999999999999E-2"/>
    <n v="3045265"/>
    <n v="97858"/>
    <x v="1"/>
  </r>
  <r>
    <x v="211"/>
    <s v="SHIDO"/>
    <n v="1E-4"/>
    <n v="1.0500000000000001E-2"/>
    <n v="3030258"/>
    <n v="91287"/>
    <x v="1"/>
  </r>
  <r>
    <x v="212"/>
    <s v="IJHon"/>
    <n v="74.599999999999994"/>
    <n v="2.8999999999999998E-3"/>
    <n v="3022812"/>
    <n v="758633"/>
    <x v="1"/>
  </r>
  <r>
    <x v="213"/>
    <s v="DMTR"/>
    <n v="6.1999999999999998E-3"/>
    <n v="1.5E-3"/>
    <n v="3017236"/>
    <n v="164804"/>
    <x v="0"/>
  </r>
  <r>
    <x v="214"/>
    <s v="OBT"/>
    <n v="5.0000000000000001E-4"/>
    <n v="1.7000000000000001E-2"/>
    <n v="3007470"/>
    <n v="3201669"/>
    <x v="1"/>
  </r>
  <r>
    <x v="215"/>
    <s v="CTA"/>
    <n v="6.0000000000000001E-3"/>
    <n v="3.5099999999999999E-2"/>
    <n v="3006189"/>
    <n v="120681"/>
    <x v="0"/>
  </r>
  <r>
    <x v="216"/>
    <s v="DRGN"/>
    <n v="8.0999999999999996E-3"/>
    <n v="4.0000000000000002E-4"/>
    <n v="2987092"/>
    <n v="1"/>
    <x v="0"/>
  </r>
  <r>
    <x v="217"/>
    <s v="COLS"/>
    <n v="3.8999999999999998E-3"/>
    <n v="2.5999999999999999E-3"/>
    <n v="2984414"/>
    <n v="1315722"/>
    <x v="0"/>
  </r>
  <r>
    <x v="218"/>
    <s v="PEIPEI"/>
    <n v="8.7099999999999997E-2"/>
    <n v="0.1454"/>
    <n v="2982813"/>
    <n v="368122"/>
    <x v="0"/>
  </r>
  <r>
    <x v="219"/>
    <s v="QST"/>
    <n v="3.0999999999999999E-3"/>
    <n v="2.7199999999999998E-2"/>
    <n v="2354870"/>
    <n v="59813"/>
    <x v="1"/>
  </r>
  <r>
    <x v="220"/>
    <s v="VFY"/>
    <n v="6.4000000000000003E-3"/>
    <n v="4.0000000000000002E-4"/>
    <n v="2346526"/>
    <n v="559825"/>
    <x v="1"/>
  </r>
  <r>
    <x v="221"/>
    <s v="EAT"/>
    <n v="2.0000000000000001E-4"/>
    <n v="1E-3"/>
    <n v="2337459"/>
    <n v="433406"/>
    <x v="1"/>
  </r>
  <r>
    <x v="222"/>
    <s v="FOXSY"/>
    <n v="2.0999999999999999E-3"/>
    <n v="7.1000000000000004E-3"/>
    <n v="2336239"/>
    <n v="237806"/>
    <x v="0"/>
  </r>
  <r>
    <x v="223"/>
    <s v="ADP"/>
    <n v="5.0000000000000001E-4"/>
    <n v="9.5999999999999992E-3"/>
    <n v="2312857"/>
    <n v="48313"/>
    <x v="1"/>
  </r>
  <r>
    <x v="224"/>
    <s v="Q"/>
    <n v="6.13E-2"/>
    <n v="1E-4"/>
    <n v="2320829"/>
    <n v="239"/>
    <x v="1"/>
  </r>
  <r>
    <x v="225"/>
    <s v="PAIN"/>
    <n v="0.46160000000000001"/>
    <n v="1E-4"/>
    <n v="2308183"/>
    <n v="7901"/>
    <x v="0"/>
  </r>
  <r>
    <x v="226"/>
    <s v="DRX"/>
    <n v="3.5000000000000001E-3"/>
    <n v="3.3799999999999997E-2"/>
    <n v="2308047"/>
    <n v="17602"/>
    <x v="0"/>
  </r>
  <r>
    <x v="227"/>
    <s v="KIBSHI"/>
    <n v="5.2299999999999999E-2"/>
    <n v="1.1900000000000001E-2"/>
    <n v="2302202"/>
    <n v="676198"/>
    <x v="0"/>
  </r>
  <r>
    <x v="228"/>
    <s v="REAL"/>
    <n v="2.3E-3"/>
    <n v="2.8999999999999998E-3"/>
    <n v="2293012"/>
    <n v="359670"/>
    <x v="1"/>
  </r>
  <r>
    <x v="229"/>
    <s v="BEE"/>
    <n v="1.3100000000000001E-2"/>
    <n v="4.0000000000000002E-4"/>
    <n v="2272812"/>
    <n v="12078"/>
    <x v="1"/>
  </r>
  <r>
    <x v="230"/>
    <s v="EPT"/>
    <n v="5.0000000000000001E-4"/>
    <n v="2.9999999999999997E-4"/>
    <n v="2270858"/>
    <n v="1316156"/>
    <x v="1"/>
  </r>
  <r>
    <x v="231"/>
    <s v="PEPon"/>
    <n v="146.13999999999999"/>
    <n v="1.8E-3"/>
    <n v="2262957"/>
    <n v="1825127"/>
    <x v="1"/>
  </r>
  <r>
    <x v="232"/>
    <s v="BABYASTEROID"/>
    <n v="8.43E-2"/>
    <n v="3.7999999999999999E-2"/>
    <n v="1806964"/>
    <n v="101991"/>
    <x v="1"/>
  </r>
  <r>
    <x v="233"/>
    <s v="RARI"/>
    <n v="9.2700000000000005E-2"/>
    <n v="2.8999999999999998E-3"/>
    <n v="1806691"/>
    <n v="276756"/>
    <x v="0"/>
  </r>
  <r>
    <x v="234"/>
    <s v="Von"/>
    <n v="325.76"/>
    <n v="0"/>
    <n v="1791774"/>
    <n v="876284"/>
    <x v="1"/>
  </r>
  <r>
    <x v="235"/>
    <s v="MANEKI"/>
    <n v="2.0000000000000001E-4"/>
    <n v="1.09E-2"/>
    <n v="1786533"/>
    <n v="332122"/>
    <x v="1"/>
  </r>
  <r>
    <x v="236"/>
    <s v="FANC"/>
    <n v="1E-3"/>
    <n v="4.7999999999999996E-3"/>
    <n v="1782399"/>
    <n v="81591"/>
    <x v="1"/>
  </r>
  <r>
    <x v="237"/>
    <s v="JWT"/>
    <n v="1.26"/>
    <n v="2.0000000000000001E-4"/>
    <n v="1774937"/>
    <n v="66401"/>
    <x v="1"/>
  </r>
  <r>
    <x v="238"/>
    <s v="AZERO"/>
    <n v="6.6E-3"/>
    <n v="1.24E-2"/>
    <n v="1768062"/>
    <n v="119060"/>
    <x v="1"/>
  </r>
  <r>
    <x v="239"/>
    <s v="TROLL"/>
    <n v="8.1799999999999998E-2"/>
    <n v="2.0000000000000001E-4"/>
    <n v="1764315"/>
    <n v="115914"/>
    <x v="1"/>
  </r>
  <r>
    <x v="240"/>
    <s v="BLKon"/>
    <n v="1013.86"/>
    <n v="0"/>
    <n v="1763126"/>
    <n v="821507"/>
    <x v="1"/>
  </r>
  <r>
    <x v="241"/>
    <s v="ROAM"/>
    <n v="5.0000000000000001E-3"/>
    <n v="5.7000000000000002E-3"/>
    <n v="1760912"/>
    <n v="1784545"/>
    <x v="1"/>
  </r>
  <r>
    <x v="242"/>
    <s v="EQIXon"/>
    <n v="1094.1099999999999"/>
    <n v="1E-4"/>
    <n v="1760374"/>
    <n v="736049"/>
    <x v="1"/>
  </r>
  <r>
    <x v="243"/>
    <s v="SSLX"/>
    <n v="5.9999999999999995E-4"/>
    <n v="2.0999999999999999E-3"/>
    <n v="1491710"/>
    <n v="188215"/>
    <x v="1"/>
  </r>
  <r>
    <x v="244"/>
    <s v="BIDUon"/>
    <n v="121.03"/>
    <n v="0"/>
    <n v="1487510"/>
    <n v="775875"/>
    <x v="1"/>
  </r>
  <r>
    <x v="245"/>
    <s v="MAIGA"/>
    <n v="5.3E-3"/>
    <n v="1.1000000000000001E-3"/>
    <n v="1482423"/>
    <n v="466345"/>
    <x v="1"/>
  </r>
  <r>
    <x v="246"/>
    <s v="SIGMA"/>
    <n v="1.6000000000000001E-3"/>
    <n v="5.4000000000000003E-3"/>
    <n v="1481390"/>
    <n v="838166"/>
    <x v="1"/>
  </r>
  <r>
    <x v="247"/>
    <s v="NIKO"/>
    <n v="1.5E-3"/>
    <n v="1.41E-2"/>
    <n v="1477054"/>
    <n v="1398"/>
    <x v="1"/>
  </r>
  <r>
    <x v="248"/>
    <s v="IMPT"/>
    <n v="1E-3"/>
    <n v="2.5999999999999999E-3"/>
    <n v="1472643"/>
    <n v="290891"/>
    <x v="1"/>
  </r>
  <r>
    <x v="249"/>
    <s v="FITFI"/>
    <n v="2.9999999999999997E-4"/>
    <n v="5.8400000000000001E-2"/>
    <n v="1498720"/>
    <n v="2985093"/>
    <x v="1"/>
  </r>
  <r>
    <x v="250"/>
    <s v="CRP"/>
    <n v="0.14000000000000001"/>
    <n v="4.4999999999999997E-3"/>
    <n v="1470106"/>
    <n v="190009"/>
    <x v="0"/>
  </r>
  <r>
    <x v="251"/>
    <s v="NIBI"/>
    <n v="1.5E-3"/>
    <n v="2.0999999999999999E-3"/>
    <n v="1469571"/>
    <n v="425763"/>
    <x v="0"/>
  </r>
  <r>
    <x v="252"/>
    <s v="KYVE"/>
    <n v="1.1999999999999999E-3"/>
    <n v="1.6999999999999999E-3"/>
    <n v="1466425"/>
    <n v="1731"/>
    <x v="1"/>
  </r>
  <r>
    <x v="253"/>
    <s v="CUDIS"/>
    <n v="5.8999999999999999E-3"/>
    <n v="2.7000000000000001E-3"/>
    <n v="1460651"/>
    <n v="6219371"/>
    <x v="1"/>
  </r>
  <r>
    <x v="254"/>
    <s v="DF"/>
    <n v="1.5E-3"/>
    <n v="0"/>
    <n v="1459321"/>
    <n v="21459"/>
    <x v="0"/>
  </r>
  <r>
    <x v="255"/>
    <s v="BILLY"/>
    <n v="1.5E-3"/>
    <n v="2.41E-2"/>
    <n v="1458904"/>
    <n v="6471"/>
    <x v="1"/>
  </r>
  <r>
    <x v="256"/>
    <s v="FLT"/>
    <n v="4.1999999999999997E-3"/>
    <n v="4.3E-3"/>
    <n v="1207576"/>
    <n v="80143"/>
    <x v="1"/>
  </r>
  <r>
    <x v="257"/>
    <s v="IMU"/>
    <n v="1.4E-3"/>
    <n v="1.6999999999999999E-3"/>
    <n v="1199325"/>
    <n v="1885566"/>
    <x v="1"/>
  </r>
  <r>
    <x v="258"/>
    <s v="DOGE"/>
    <n v="1.1999999999999999E-3"/>
    <n v="2.0999999999999999E-3"/>
    <n v="1198549"/>
    <n v="448798"/>
    <x v="1"/>
  </r>
  <r>
    <x v="259"/>
    <s v="CRMon"/>
    <n v="185.64"/>
    <n v="2.7000000000000001E-3"/>
    <n v="1201141"/>
    <n v="1194229"/>
    <x v="1"/>
  </r>
  <r>
    <x v="260"/>
    <s v="EWYon"/>
    <n v="175.86"/>
    <n v="4.0000000000000002E-4"/>
    <n v="1199600"/>
    <n v="2078773"/>
    <x v="1"/>
  </r>
  <r>
    <x v="261"/>
    <s v="CDL"/>
    <n v="5.8999999999999999E-3"/>
    <n v="6.6E-3"/>
    <n v="1199080"/>
    <n v="128970"/>
    <x v="1"/>
  </r>
  <r>
    <x v="262"/>
    <s v="AZIT"/>
    <n v="2.8E-3"/>
    <n v="1.54E-2"/>
    <n v="1205707"/>
    <n v="72427"/>
    <x v="1"/>
  </r>
  <r>
    <x v="263"/>
    <s v="HASHAI"/>
    <n v="0"/>
    <n v="4.0000000000000001E-3"/>
    <n v="1201464"/>
    <n v="81028"/>
    <x v="1"/>
  </r>
  <r>
    <x v="264"/>
    <s v="ADM"/>
    <n v="1.0800000000000001E-2"/>
    <n v="2.0000000000000001E-4"/>
    <n v="1198250"/>
    <n v="110464"/>
    <x v="1"/>
  </r>
  <r>
    <x v="265"/>
    <s v="LITKEY"/>
    <n v="5.4000000000000003E-3"/>
    <n v="7.6E-3"/>
    <n v="1193409"/>
    <n v="2950"/>
    <x v="0"/>
  </r>
  <r>
    <x v="266"/>
    <s v="JDon"/>
    <n v="29.9"/>
    <n v="1.5E-3"/>
    <n v="1186586"/>
    <n v="828027"/>
    <x v="0"/>
  </r>
  <r>
    <x v="267"/>
    <s v="LOL"/>
    <n v="1.1999999999999999E-3"/>
    <n v="3.4700000000000002E-2"/>
    <n v="1205156"/>
    <n v="498762"/>
    <x v="0"/>
  </r>
  <r>
    <x v="268"/>
    <s v="ABNBon"/>
    <n v="132.88"/>
    <n v="2.5000000000000001E-3"/>
    <n v="1177696"/>
    <n v="826410"/>
    <x v="1"/>
  </r>
  <r>
    <x v="269"/>
    <s v="SHR"/>
    <n v="2.9999999999999997E-4"/>
    <n v="1.6199999999999999E-2"/>
    <n v="1175672"/>
    <n v="195191"/>
    <x v="0"/>
  </r>
  <r>
    <x v="270"/>
    <s v="RVF"/>
    <n v="1.4200000000000001E-2"/>
    <n v="1.6799999999999999E-2"/>
    <n v="1172258"/>
    <n v="10037"/>
    <x v="0"/>
  </r>
  <r>
    <x v="271"/>
    <s v="STUFF"/>
    <n v="2.9999999999999997E-4"/>
    <n v="4.3E-3"/>
    <n v="972646"/>
    <n v="1749"/>
    <x v="0"/>
  </r>
  <r>
    <x v="272"/>
    <s v="BEB1M"/>
    <n v="1E-3"/>
    <n v="3.8999999999999998E-3"/>
    <n v="970789"/>
    <n v="17169"/>
    <x v="0"/>
  </r>
  <r>
    <x v="273"/>
    <s v="TRUU"/>
    <n v="1E-4"/>
    <n v="2.9999999999999997E-4"/>
    <n v="969523"/>
    <n v="158921"/>
    <x v="0"/>
  </r>
  <r>
    <x v="274"/>
    <s v="CaptainBNB"/>
    <n v="1.1000000000000001E-3"/>
    <n v="0.31359999999999999"/>
    <n v="969081"/>
    <n v="75946"/>
    <x v="0"/>
  </r>
  <r>
    <x v="275"/>
    <s v="WAR"/>
    <n v="1E-3"/>
    <n v="3.8399999999999997E-2"/>
    <n v="975625"/>
    <n v="931081"/>
    <x v="0"/>
  </r>
  <r>
    <x v="276"/>
    <s v="STARL"/>
    <n v="7.9600000000000004E-2"/>
    <n v="9.5999999999999992E-3"/>
    <n v="961236"/>
    <n v="3285"/>
    <x v="0"/>
  </r>
  <r>
    <x v="277"/>
    <s v="ATR"/>
    <n v="8.0000000000000004E-4"/>
    <n v="3.3999999999999998E-3"/>
    <n v="958689"/>
    <n v="219377"/>
    <x v="0"/>
  </r>
  <r>
    <x v="278"/>
    <s v="NTX"/>
    <n v="1.9E-3"/>
    <n v="1.8E-3"/>
    <n v="958512"/>
    <n v="79241"/>
    <x v="0"/>
  </r>
  <r>
    <x v="279"/>
    <s v="UNCX"/>
    <n v="20.47"/>
    <n v="0"/>
    <n v="954786"/>
    <n v="240"/>
    <x v="0"/>
  </r>
  <r>
    <x v="280"/>
    <s v="PUSH"/>
    <n v="1.06E-2"/>
    <n v="2.8E-3"/>
    <n v="952933"/>
    <n v="253285"/>
    <x v="0"/>
  </r>
  <r>
    <x v="281"/>
    <s v="STRCon"/>
    <n v="93.97"/>
    <n v="1E-4"/>
    <n v="949515"/>
    <n v="317545"/>
    <x v="0"/>
  </r>
  <r>
    <x v="282"/>
    <m/>
    <m/>
    <m/>
    <m/>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7282605-D88C-4750-B463-959C1DDB2E84}"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141:Z424" firstHeaderRow="1" firstDataRow="1" firstDataCol="1"/>
  <pivotFields count="11">
    <pivotField axis="axisRow" showAll="0">
      <items count="283">
        <item x="205"/>
        <item x="161"/>
        <item x="207"/>
        <item x="132"/>
        <item x="264"/>
        <item x="223"/>
        <item x="121"/>
        <item x="18"/>
        <item x="50"/>
        <item x="268"/>
        <item x="159"/>
        <item x="238"/>
        <item x="69"/>
        <item x="182"/>
        <item x="164"/>
        <item x="72"/>
        <item x="85"/>
        <item x="155"/>
        <item x="171"/>
        <item x="119"/>
        <item x="201"/>
        <item x="277"/>
        <item x="64"/>
        <item x="145"/>
        <item x="87"/>
        <item x="58"/>
        <item x="262"/>
        <item x="232"/>
        <item x="244"/>
        <item x="230"/>
        <item x="82"/>
        <item x="129"/>
        <item x="194"/>
        <item x="272"/>
        <item x="37"/>
        <item x="48"/>
        <item x="255"/>
        <item x="1"/>
        <item x="172"/>
        <item x="19"/>
        <item x="240"/>
        <item x="115"/>
        <item x="199"/>
        <item x="4"/>
        <item x="91"/>
        <item x="125"/>
        <item x="113"/>
        <item x="170"/>
        <item x="162"/>
        <item x="35"/>
        <item x="14"/>
        <item x="274"/>
        <item x="105"/>
        <item x="16"/>
        <item x="74"/>
        <item x="21"/>
        <item x="120"/>
        <item x="44"/>
        <item x="0"/>
        <item x="217"/>
        <item x="55"/>
        <item x="100"/>
        <item x="56"/>
        <item x="89"/>
        <item x="66"/>
        <item x="261"/>
        <item x="215"/>
        <item x="250"/>
        <item x="253"/>
        <item x="15"/>
        <item x="229"/>
        <item x="88"/>
        <item x="206"/>
        <item x="258"/>
        <item x="51"/>
        <item x="254"/>
        <item x="118"/>
        <item x="213"/>
        <item x="10"/>
        <item x="108"/>
        <item x="122"/>
        <item x="28"/>
        <item x="216"/>
        <item x="226"/>
        <item x="61"/>
        <item x="187"/>
        <item x="242"/>
        <item x="22"/>
        <item x="2"/>
        <item x="34"/>
        <item x="236"/>
        <item x="139"/>
        <item x="166"/>
        <item x="256"/>
        <item x="143"/>
        <item x="222"/>
        <item x="149"/>
        <item x="53"/>
        <item x="38"/>
        <item x="163"/>
        <item x="81"/>
        <item x="114"/>
        <item x="59"/>
        <item x="29"/>
        <item x="169"/>
        <item x="150"/>
        <item x="133"/>
        <item x="263"/>
        <item x="154"/>
        <item x="175"/>
        <item x="186"/>
        <item x="136"/>
        <item x="33"/>
        <item x="52"/>
        <item x="9"/>
        <item x="257"/>
        <item x="23"/>
        <item x="248"/>
        <item x="196"/>
        <item x="80"/>
        <item x="151"/>
        <item x="71"/>
        <item x="96"/>
        <item x="46"/>
        <item x="212"/>
        <item x="260"/>
        <item x="94"/>
        <item x="137"/>
        <item x="131"/>
        <item x="68"/>
        <item x="266"/>
        <item x="24"/>
        <item x="36"/>
        <item x="177"/>
        <item x="237"/>
        <item x="43"/>
        <item x="227"/>
        <item x="192"/>
        <item x="54"/>
        <item x="252"/>
        <item x="31"/>
        <item x="147"/>
        <item x="42"/>
        <item x="104"/>
        <item x="265"/>
        <item x="76"/>
        <item x="267"/>
        <item x="134"/>
        <item x="188"/>
        <item x="245"/>
        <item x="178"/>
        <item x="235"/>
        <item x="198"/>
        <item x="86"/>
        <item x="78"/>
        <item x="67"/>
        <item x="75"/>
        <item x="45"/>
        <item x="103"/>
        <item x="152"/>
        <item x="49"/>
        <item x="193"/>
        <item x="25"/>
        <item x="124"/>
        <item x="99"/>
        <item x="144"/>
        <item x="101"/>
        <item x="190"/>
        <item x="251"/>
        <item x="247"/>
        <item x="174"/>
        <item x="179"/>
        <item x="210"/>
        <item x="184"/>
        <item x="278"/>
        <item x="165"/>
        <item x="32"/>
        <item x="126"/>
        <item x="70"/>
        <item x="214"/>
        <item x="128"/>
        <item x="138"/>
        <item x="167"/>
        <item x="225"/>
        <item x="97"/>
        <item x="218"/>
        <item x="231"/>
        <item x="77"/>
        <item x="102"/>
        <item x="183"/>
        <item x="57"/>
        <item x="200"/>
        <item x="92"/>
        <item x="116"/>
        <item x="158"/>
        <item x="204"/>
        <item x="280"/>
        <item x="197"/>
        <item x="26"/>
        <item x="107"/>
        <item x="224"/>
        <item x="219"/>
        <item x="30"/>
        <item x="233"/>
        <item x="47"/>
        <item x="228"/>
        <item x="95"/>
        <item x="173"/>
        <item x="241"/>
        <item x="202"/>
        <item x="270"/>
        <item x="65"/>
        <item x="259"/>
        <item x="111"/>
        <item x="168"/>
        <item x="112"/>
        <item x="269"/>
        <item x="110"/>
        <item x="211"/>
        <item x="246"/>
        <item x="106"/>
        <item x="146"/>
        <item x="98"/>
        <item x="141"/>
        <item x="7"/>
        <item x="130"/>
        <item x="40"/>
        <item x="189"/>
        <item x="176"/>
        <item x="17"/>
        <item x="185"/>
        <item x="276"/>
        <item x="243"/>
        <item x="12"/>
        <item x="249"/>
        <item x="281"/>
        <item x="191"/>
        <item x="93"/>
        <item x="271"/>
        <item x="73"/>
        <item x="62"/>
        <item x="109"/>
        <item x="195"/>
        <item x="39"/>
        <item x="79"/>
        <item x="3"/>
        <item x="20"/>
        <item x="157"/>
        <item x="209"/>
        <item x="153"/>
        <item x="63"/>
        <item x="60"/>
        <item x="239"/>
        <item x="8"/>
        <item x="273"/>
        <item x="160"/>
        <item x="279"/>
        <item x="203"/>
        <item x="11"/>
        <item x="180"/>
        <item x="5"/>
        <item x="41"/>
        <item x="127"/>
        <item x="135"/>
        <item x="234"/>
        <item x="83"/>
        <item x="148"/>
        <item x="142"/>
        <item x="275"/>
        <item x="140"/>
        <item x="117"/>
        <item x="84"/>
        <item x="221"/>
        <item x="6"/>
        <item x="123"/>
        <item x="156"/>
        <item x="90"/>
        <item x="13"/>
        <item x="27"/>
        <item x="208"/>
        <item x="220"/>
        <item x="181"/>
        <item t="default"/>
      </items>
    </pivotField>
    <pivotField showAll="0"/>
    <pivotField showAll="0"/>
    <pivotField showAll="0"/>
    <pivotField showAll="0"/>
    <pivotField dataField="1" showAll="0"/>
    <pivotField showAll="0"/>
    <pivotField showAll="0"/>
    <pivotField showAll="0"/>
    <pivotField showAll="0"/>
    <pivotField showAll="0"/>
  </pivotFields>
  <rowFields count="1">
    <field x="0"/>
  </rowFields>
  <rowItems count="28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t="grand">
      <x/>
    </i>
  </rowItems>
  <colItems count="1">
    <i/>
  </colItems>
  <dataFields count="1">
    <dataField name="Sum of Volume (24h) USD" fld="5" baseField="0" baseItem="0"/>
  </dataFields>
  <formats count="22">
    <format dxfId="290">
      <pivotArea type="all" dataOnly="0" outline="0" fieldPosition="0"/>
    </format>
    <format dxfId="289">
      <pivotArea outline="0" collapsedLevelsAreSubtotals="1" fieldPosition="0"/>
    </format>
    <format dxfId="288">
      <pivotArea field="0" type="button" dataOnly="0" labelOnly="1" outline="0" axis="axisRow" fieldPosition="0"/>
    </format>
    <format dxfId="287">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86">
      <pivotArea dataOnly="0" labelOnly="1"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285">
      <pivotArea dataOnly="0" labelOnly="1"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284">
      <pivotArea dataOnly="0" labelOnly="1"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283">
      <pivotArea dataOnly="0" labelOnly="1" fieldPosition="0">
        <references count="1">
          <reference field="0"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282">
      <pivotArea dataOnly="0" labelOnly="1" fieldPosition="0">
        <references count="1">
          <reference field="0" count="32">
            <x v="250"/>
            <x v="251"/>
            <x v="252"/>
            <x v="253"/>
            <x v="254"/>
            <x v="255"/>
            <x v="256"/>
            <x v="257"/>
            <x v="258"/>
            <x v="259"/>
            <x v="260"/>
            <x v="261"/>
            <x v="262"/>
            <x v="263"/>
            <x v="264"/>
            <x v="265"/>
            <x v="266"/>
            <x v="267"/>
            <x v="268"/>
            <x v="269"/>
            <x v="270"/>
            <x v="271"/>
            <x v="272"/>
            <x v="273"/>
            <x v="274"/>
            <x v="275"/>
            <x v="276"/>
            <x v="277"/>
            <x v="278"/>
            <x v="279"/>
            <x v="280"/>
            <x v="281"/>
          </reference>
        </references>
      </pivotArea>
    </format>
    <format dxfId="281">
      <pivotArea dataOnly="0" labelOnly="1" grandRow="1" outline="0" fieldPosition="0"/>
    </format>
    <format dxfId="280">
      <pivotArea dataOnly="0" labelOnly="1" outline="0" axis="axisValues" fieldPosition="0"/>
    </format>
    <format dxfId="279">
      <pivotArea type="all" dataOnly="0" outline="0" fieldPosition="0"/>
    </format>
    <format dxfId="278">
      <pivotArea outline="0" collapsedLevelsAreSubtotals="1" fieldPosition="0"/>
    </format>
    <format dxfId="277">
      <pivotArea field="0" type="button" dataOnly="0" labelOnly="1" outline="0" axis="axisRow" fieldPosition="0"/>
    </format>
    <format dxfId="276">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75">
      <pivotArea dataOnly="0" labelOnly="1"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274">
      <pivotArea dataOnly="0" labelOnly="1"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273">
      <pivotArea dataOnly="0" labelOnly="1"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272">
      <pivotArea dataOnly="0" labelOnly="1" fieldPosition="0">
        <references count="1">
          <reference field="0"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271">
      <pivotArea dataOnly="0" labelOnly="1" fieldPosition="0">
        <references count="1">
          <reference field="0" count="32">
            <x v="250"/>
            <x v="251"/>
            <x v="252"/>
            <x v="253"/>
            <x v="254"/>
            <x v="255"/>
            <x v="256"/>
            <x v="257"/>
            <x v="258"/>
            <x v="259"/>
            <x v="260"/>
            <x v="261"/>
            <x v="262"/>
            <x v="263"/>
            <x v="264"/>
            <x v="265"/>
            <x v="266"/>
            <x v="267"/>
            <x v="268"/>
            <x v="269"/>
            <x v="270"/>
            <x v="271"/>
            <x v="272"/>
            <x v="273"/>
            <x v="274"/>
            <x v="275"/>
            <x v="276"/>
            <x v="277"/>
            <x v="278"/>
            <x v="279"/>
            <x v="280"/>
            <x v="281"/>
          </reference>
        </references>
      </pivotArea>
    </format>
    <format dxfId="270">
      <pivotArea dataOnly="0" labelOnly="1" grandRow="1" outline="0" fieldPosition="0"/>
    </format>
    <format dxfId="26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C2624C8-287F-46E1-B402-2A77F772E6D4}"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46:V52" firstHeaderRow="1" firstDataRow="1" firstDataCol="1" rowPageCount="1" colPageCount="1"/>
  <pivotFields count="9">
    <pivotField axis="axisRow" showAll="0" measureFilter="1">
      <items count="283">
        <item x="205"/>
        <item x="161"/>
        <item x="207"/>
        <item x="132"/>
        <item x="264"/>
        <item x="223"/>
        <item x="121"/>
        <item x="18"/>
        <item x="50"/>
        <item x="268"/>
        <item x="159"/>
        <item x="238"/>
        <item x="69"/>
        <item x="182"/>
        <item x="164"/>
        <item x="72"/>
        <item x="85"/>
        <item x="155"/>
        <item x="171"/>
        <item x="119"/>
        <item x="201"/>
        <item x="277"/>
        <item x="64"/>
        <item x="145"/>
        <item x="87"/>
        <item x="58"/>
        <item x="262"/>
        <item x="232"/>
        <item x="244"/>
        <item x="230"/>
        <item x="82"/>
        <item x="129"/>
        <item x="194"/>
        <item x="272"/>
        <item x="37"/>
        <item x="48"/>
        <item x="255"/>
        <item x="1"/>
        <item x="172"/>
        <item x="19"/>
        <item x="240"/>
        <item x="115"/>
        <item x="199"/>
        <item x="4"/>
        <item x="91"/>
        <item x="125"/>
        <item x="113"/>
        <item x="170"/>
        <item x="162"/>
        <item x="35"/>
        <item x="14"/>
        <item x="274"/>
        <item x="105"/>
        <item x="16"/>
        <item x="74"/>
        <item x="21"/>
        <item x="120"/>
        <item x="44"/>
        <item x="0"/>
        <item x="217"/>
        <item x="55"/>
        <item x="100"/>
        <item x="56"/>
        <item x="89"/>
        <item x="66"/>
        <item x="261"/>
        <item x="215"/>
        <item x="250"/>
        <item x="253"/>
        <item x="15"/>
        <item x="229"/>
        <item x="88"/>
        <item x="206"/>
        <item x="258"/>
        <item x="51"/>
        <item x="254"/>
        <item x="118"/>
        <item x="213"/>
        <item x="10"/>
        <item x="108"/>
        <item x="122"/>
        <item x="28"/>
        <item x="216"/>
        <item x="226"/>
        <item x="61"/>
        <item x="187"/>
        <item x="242"/>
        <item x="22"/>
        <item x="2"/>
        <item x="34"/>
        <item x="236"/>
        <item x="139"/>
        <item x="166"/>
        <item x="256"/>
        <item x="143"/>
        <item x="222"/>
        <item x="149"/>
        <item x="53"/>
        <item x="38"/>
        <item x="163"/>
        <item x="81"/>
        <item x="114"/>
        <item x="59"/>
        <item x="29"/>
        <item x="169"/>
        <item x="150"/>
        <item x="133"/>
        <item x="263"/>
        <item x="154"/>
        <item x="175"/>
        <item x="186"/>
        <item x="136"/>
        <item x="33"/>
        <item x="52"/>
        <item x="9"/>
        <item x="257"/>
        <item x="23"/>
        <item x="248"/>
        <item x="196"/>
        <item x="80"/>
        <item x="151"/>
        <item x="71"/>
        <item x="96"/>
        <item x="46"/>
        <item x="212"/>
        <item x="260"/>
        <item x="94"/>
        <item x="137"/>
        <item x="131"/>
        <item x="68"/>
        <item x="266"/>
        <item x="24"/>
        <item x="36"/>
        <item x="177"/>
        <item x="237"/>
        <item x="43"/>
        <item x="227"/>
        <item x="192"/>
        <item x="54"/>
        <item x="252"/>
        <item x="31"/>
        <item x="147"/>
        <item x="42"/>
        <item x="104"/>
        <item x="265"/>
        <item x="76"/>
        <item x="267"/>
        <item x="134"/>
        <item x="188"/>
        <item x="245"/>
        <item x="178"/>
        <item x="235"/>
        <item x="198"/>
        <item x="86"/>
        <item x="78"/>
        <item x="67"/>
        <item x="75"/>
        <item x="45"/>
        <item x="103"/>
        <item x="152"/>
        <item x="49"/>
        <item x="193"/>
        <item x="25"/>
        <item x="124"/>
        <item x="99"/>
        <item x="144"/>
        <item x="101"/>
        <item x="190"/>
        <item x="251"/>
        <item x="247"/>
        <item x="174"/>
        <item x="179"/>
        <item x="210"/>
        <item x="184"/>
        <item x="278"/>
        <item x="165"/>
        <item x="32"/>
        <item x="126"/>
        <item x="70"/>
        <item x="214"/>
        <item x="128"/>
        <item x="138"/>
        <item x="167"/>
        <item x="225"/>
        <item x="97"/>
        <item x="218"/>
        <item x="231"/>
        <item x="77"/>
        <item x="102"/>
        <item x="183"/>
        <item x="57"/>
        <item x="200"/>
        <item x="92"/>
        <item x="116"/>
        <item x="158"/>
        <item x="204"/>
        <item x="280"/>
        <item x="197"/>
        <item x="26"/>
        <item x="107"/>
        <item x="224"/>
        <item x="219"/>
        <item x="30"/>
        <item x="233"/>
        <item x="47"/>
        <item x="228"/>
        <item x="95"/>
        <item x="173"/>
        <item x="241"/>
        <item x="202"/>
        <item x="270"/>
        <item x="65"/>
        <item x="259"/>
        <item x="111"/>
        <item x="168"/>
        <item x="112"/>
        <item x="269"/>
        <item x="110"/>
        <item x="211"/>
        <item x="246"/>
        <item x="106"/>
        <item x="146"/>
        <item x="98"/>
        <item x="141"/>
        <item x="7"/>
        <item x="130"/>
        <item x="40"/>
        <item x="189"/>
        <item x="176"/>
        <item x="17"/>
        <item x="185"/>
        <item x="276"/>
        <item x="243"/>
        <item x="12"/>
        <item x="249"/>
        <item x="281"/>
        <item x="191"/>
        <item x="93"/>
        <item x="271"/>
        <item x="73"/>
        <item x="62"/>
        <item x="109"/>
        <item x="195"/>
        <item x="39"/>
        <item x="79"/>
        <item x="3"/>
        <item x="20"/>
        <item x="157"/>
        <item x="209"/>
        <item x="153"/>
        <item x="63"/>
        <item x="60"/>
        <item x="239"/>
        <item x="8"/>
        <item x="273"/>
        <item x="160"/>
        <item x="279"/>
        <item x="203"/>
        <item x="11"/>
        <item x="180"/>
        <item x="5"/>
        <item x="41"/>
        <item x="127"/>
        <item x="135"/>
        <item x="234"/>
        <item x="83"/>
        <item x="148"/>
        <item x="142"/>
        <item x="275"/>
        <item x="140"/>
        <item x="117"/>
        <item x="84"/>
        <item x="221"/>
        <item x="6"/>
        <item x="123"/>
        <item x="156"/>
        <item x="90"/>
        <item x="13"/>
        <item x="27"/>
        <item x="208"/>
        <item x="220"/>
        <item x="181"/>
        <item t="default"/>
      </items>
    </pivotField>
    <pivotField showAll="0"/>
    <pivotField showAll="0"/>
    <pivotField showAll="0"/>
    <pivotField showAll="0"/>
    <pivotField dataField="1" showAll="0"/>
    <pivotField showAll="0"/>
    <pivotField showAll="0"/>
    <pivotField axis="axisPage" showAll="0">
      <items count="3">
        <item x="1"/>
        <item x="0"/>
        <item t="default"/>
      </items>
    </pivotField>
  </pivotFields>
  <rowFields count="1">
    <field x="0"/>
  </rowFields>
  <rowItems count="6">
    <i>
      <x v="37"/>
    </i>
    <i>
      <x v="88"/>
    </i>
    <i>
      <x v="224"/>
    </i>
    <i>
      <x v="245"/>
    </i>
    <i>
      <x v="260"/>
    </i>
    <i t="grand">
      <x/>
    </i>
  </rowItems>
  <colItems count="1">
    <i/>
  </colItems>
  <pageFields count="1">
    <pageField fld="8" hier="-1"/>
  </pageFields>
  <dataFields count="1">
    <dataField name="Sum of Volume (24h) USD" fld="5" baseField="0" baseItem="0"/>
  </dataFields>
  <formats count="42">
    <format dxfId="332">
      <pivotArea type="all" dataOnly="0" outline="0" fieldPosition="0"/>
    </format>
    <format dxfId="331">
      <pivotArea outline="0" collapsedLevelsAreSubtotals="1" fieldPosition="0"/>
    </format>
    <format dxfId="330">
      <pivotArea field="0" type="button" dataOnly="0" labelOnly="1" outline="0" axis="axisRow" fieldPosition="0"/>
    </format>
    <format dxfId="329">
      <pivotArea dataOnly="0" labelOnly="1" fieldPosition="0">
        <references count="1">
          <reference field="0" count="5">
            <x v="37"/>
            <x v="88"/>
            <x v="224"/>
            <x v="245"/>
            <x v="260"/>
          </reference>
        </references>
      </pivotArea>
    </format>
    <format dxfId="328">
      <pivotArea dataOnly="0" labelOnly="1" grandRow="1" outline="0" fieldPosition="0"/>
    </format>
    <format dxfId="327">
      <pivotArea dataOnly="0" labelOnly="1" outline="0" axis="axisValues" fieldPosition="0"/>
    </format>
    <format dxfId="326">
      <pivotArea type="all" dataOnly="0" outline="0" fieldPosition="0"/>
    </format>
    <format dxfId="325">
      <pivotArea outline="0" collapsedLevelsAreSubtotals="1" fieldPosition="0"/>
    </format>
    <format dxfId="324">
      <pivotArea field="0" type="button" dataOnly="0" labelOnly="1" outline="0" axis="axisRow" fieldPosition="0"/>
    </format>
    <format dxfId="323">
      <pivotArea dataOnly="0" labelOnly="1" fieldPosition="0">
        <references count="1">
          <reference field="0" count="5">
            <x v="37"/>
            <x v="88"/>
            <x v="224"/>
            <x v="245"/>
            <x v="260"/>
          </reference>
        </references>
      </pivotArea>
    </format>
    <format dxfId="322">
      <pivotArea dataOnly="0" labelOnly="1" grandRow="1" outline="0" fieldPosition="0"/>
    </format>
    <format dxfId="321">
      <pivotArea dataOnly="0" labelOnly="1" outline="0" axis="axisValues" fieldPosition="0"/>
    </format>
    <format dxfId="320">
      <pivotArea type="all" dataOnly="0" outline="0" fieldPosition="0"/>
    </format>
    <format dxfId="319">
      <pivotArea outline="0" collapsedLevelsAreSubtotals="1" fieldPosition="0"/>
    </format>
    <format dxfId="318">
      <pivotArea field="0" type="button" dataOnly="0" labelOnly="1" outline="0" axis="axisRow" fieldPosition="0"/>
    </format>
    <format dxfId="317">
      <pivotArea dataOnly="0" labelOnly="1" fieldPosition="0">
        <references count="1">
          <reference field="0" count="5">
            <x v="37"/>
            <x v="88"/>
            <x v="224"/>
            <x v="245"/>
            <x v="260"/>
          </reference>
        </references>
      </pivotArea>
    </format>
    <format dxfId="316">
      <pivotArea dataOnly="0" labelOnly="1" grandRow="1" outline="0" fieldPosition="0"/>
    </format>
    <format dxfId="315">
      <pivotArea dataOnly="0" labelOnly="1" outline="0" axis="axisValues" fieldPosition="0"/>
    </format>
    <format dxfId="314">
      <pivotArea type="all" dataOnly="0" outline="0" fieldPosition="0"/>
    </format>
    <format dxfId="313">
      <pivotArea outline="0" collapsedLevelsAreSubtotals="1" fieldPosition="0"/>
    </format>
    <format dxfId="312">
      <pivotArea field="0" type="button" dataOnly="0" labelOnly="1" outline="0" axis="axisRow" fieldPosition="0"/>
    </format>
    <format dxfId="311">
      <pivotArea dataOnly="0" labelOnly="1" fieldPosition="0">
        <references count="1">
          <reference field="0" count="5">
            <x v="37"/>
            <x v="88"/>
            <x v="224"/>
            <x v="245"/>
            <x v="260"/>
          </reference>
        </references>
      </pivotArea>
    </format>
    <format dxfId="310">
      <pivotArea dataOnly="0" labelOnly="1" grandRow="1" outline="0" fieldPosition="0"/>
    </format>
    <format dxfId="309">
      <pivotArea dataOnly="0" labelOnly="1" outline="0" axis="axisValues" fieldPosition="0"/>
    </format>
    <format dxfId="308">
      <pivotArea type="all" dataOnly="0" outline="0" fieldPosition="0"/>
    </format>
    <format dxfId="307">
      <pivotArea outline="0" collapsedLevelsAreSubtotals="1" fieldPosition="0"/>
    </format>
    <format dxfId="306">
      <pivotArea dataOnly="0" labelOnly="1" fieldPosition="0">
        <references count="1">
          <reference field="0" count="5">
            <x v="37"/>
            <x v="88"/>
            <x v="224"/>
            <x v="245"/>
            <x v="260"/>
          </reference>
        </references>
      </pivotArea>
    </format>
    <format dxfId="305">
      <pivotArea dataOnly="0" labelOnly="1" grandRow="1" outline="0" fieldPosition="0"/>
    </format>
    <format dxfId="304">
      <pivotArea field="0" type="button" dataOnly="0" labelOnly="1" outline="0" axis="axisRow" fieldPosition="0"/>
    </format>
    <format dxfId="303">
      <pivotArea dataOnly="0" labelOnly="1" outline="0" axis="axisValues" fieldPosition="0"/>
    </format>
    <format dxfId="302">
      <pivotArea grandRow="1" outline="0" collapsedLevelsAreSubtotals="1" fieldPosition="0"/>
    </format>
    <format dxfId="301">
      <pivotArea dataOnly="0" labelOnly="1" grandRow="1" outline="0" fieldPosition="0"/>
    </format>
    <format dxfId="300">
      <pivotArea collapsedLevelsAreSubtotals="1" fieldPosition="0">
        <references count="1">
          <reference field="0" count="5">
            <x v="37"/>
            <x v="88"/>
            <x v="224"/>
            <x v="245"/>
            <x v="260"/>
          </reference>
        </references>
      </pivotArea>
    </format>
    <format dxfId="299">
      <pivotArea dataOnly="0" labelOnly="1" fieldPosition="0">
        <references count="1">
          <reference field="0" count="5">
            <x v="37"/>
            <x v="88"/>
            <x v="224"/>
            <x v="245"/>
            <x v="260"/>
          </reference>
        </references>
      </pivotArea>
    </format>
    <format dxfId="298">
      <pivotArea dataOnly="0" grandRow="1" fieldPosition="0"/>
    </format>
    <format dxfId="297">
      <pivotArea dataOnly="0" labelOnly="1" grandRow="1" outline="0" fieldPosition="0"/>
    </format>
    <format dxfId="296">
      <pivotArea type="all" dataOnly="0" outline="0" fieldPosition="0"/>
    </format>
    <format dxfId="295">
      <pivotArea outline="0" collapsedLevelsAreSubtotals="1" fieldPosition="0"/>
    </format>
    <format dxfId="294">
      <pivotArea field="0" type="button" dataOnly="0" labelOnly="1" outline="0" axis="axisRow" fieldPosition="0"/>
    </format>
    <format dxfId="293">
      <pivotArea dataOnly="0" labelOnly="1" fieldPosition="0">
        <references count="1">
          <reference field="0" count="5">
            <x v="37"/>
            <x v="88"/>
            <x v="224"/>
            <x v="245"/>
            <x v="260"/>
          </reference>
        </references>
      </pivotArea>
    </format>
    <format dxfId="292">
      <pivotArea dataOnly="0" labelOnly="1" grandRow="1" outline="0" fieldPosition="0"/>
    </format>
    <format dxfId="291">
      <pivotArea dataOnly="0" labelOnly="1" outline="0" axis="axisValues" fieldPosition="0"/>
    </format>
  </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AB9FB82-A050-4868-8577-0EFB62F4B73E}"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51:B62" firstHeaderRow="1" firstDataRow="1" firstDataCol="1" rowPageCount="1" colPageCount="1"/>
  <pivotFields count="11">
    <pivotField axis="axisRow" showAll="0" measureFilter="1" sortType="descending">
      <items count="283">
        <item x="205"/>
        <item x="161"/>
        <item x="207"/>
        <item x="132"/>
        <item x="264"/>
        <item x="223"/>
        <item x="121"/>
        <item x="18"/>
        <item x="50"/>
        <item x="268"/>
        <item x="159"/>
        <item x="238"/>
        <item x="69"/>
        <item x="182"/>
        <item x="164"/>
        <item x="72"/>
        <item x="85"/>
        <item x="155"/>
        <item x="171"/>
        <item x="119"/>
        <item x="201"/>
        <item x="277"/>
        <item x="64"/>
        <item x="145"/>
        <item x="87"/>
        <item x="58"/>
        <item x="262"/>
        <item x="232"/>
        <item x="244"/>
        <item x="230"/>
        <item x="82"/>
        <item x="129"/>
        <item x="194"/>
        <item x="272"/>
        <item x="37"/>
        <item x="48"/>
        <item x="255"/>
        <item x="1"/>
        <item x="172"/>
        <item x="19"/>
        <item x="240"/>
        <item x="115"/>
        <item x="199"/>
        <item x="4"/>
        <item x="91"/>
        <item x="125"/>
        <item x="113"/>
        <item x="170"/>
        <item x="162"/>
        <item x="35"/>
        <item x="14"/>
        <item x="274"/>
        <item x="105"/>
        <item x="16"/>
        <item x="74"/>
        <item x="21"/>
        <item x="120"/>
        <item x="44"/>
        <item x="0"/>
        <item x="217"/>
        <item x="55"/>
        <item x="100"/>
        <item x="56"/>
        <item x="89"/>
        <item x="66"/>
        <item x="261"/>
        <item x="215"/>
        <item x="250"/>
        <item x="253"/>
        <item x="15"/>
        <item x="229"/>
        <item x="88"/>
        <item x="206"/>
        <item x="258"/>
        <item x="51"/>
        <item x="254"/>
        <item x="118"/>
        <item x="213"/>
        <item x="10"/>
        <item x="108"/>
        <item x="122"/>
        <item x="28"/>
        <item x="216"/>
        <item x="226"/>
        <item x="61"/>
        <item x="187"/>
        <item x="242"/>
        <item x="22"/>
        <item x="2"/>
        <item x="34"/>
        <item x="236"/>
        <item x="139"/>
        <item x="166"/>
        <item x="256"/>
        <item x="143"/>
        <item x="222"/>
        <item x="149"/>
        <item x="53"/>
        <item x="38"/>
        <item x="163"/>
        <item x="81"/>
        <item x="114"/>
        <item x="59"/>
        <item x="29"/>
        <item x="169"/>
        <item x="150"/>
        <item x="133"/>
        <item x="263"/>
        <item x="154"/>
        <item x="175"/>
        <item x="186"/>
        <item x="136"/>
        <item x="33"/>
        <item x="52"/>
        <item x="9"/>
        <item x="257"/>
        <item x="23"/>
        <item x="248"/>
        <item x="196"/>
        <item x="80"/>
        <item x="151"/>
        <item x="71"/>
        <item x="96"/>
        <item x="46"/>
        <item x="212"/>
        <item x="260"/>
        <item x="94"/>
        <item x="137"/>
        <item x="131"/>
        <item x="68"/>
        <item x="266"/>
        <item x="24"/>
        <item x="36"/>
        <item x="177"/>
        <item x="237"/>
        <item x="43"/>
        <item x="227"/>
        <item x="192"/>
        <item x="54"/>
        <item x="252"/>
        <item x="31"/>
        <item x="147"/>
        <item x="42"/>
        <item x="104"/>
        <item x="265"/>
        <item x="76"/>
        <item x="267"/>
        <item x="134"/>
        <item x="188"/>
        <item x="245"/>
        <item x="178"/>
        <item x="235"/>
        <item x="198"/>
        <item x="86"/>
        <item x="78"/>
        <item x="67"/>
        <item x="75"/>
        <item x="45"/>
        <item x="103"/>
        <item x="152"/>
        <item x="49"/>
        <item x="193"/>
        <item x="25"/>
        <item x="124"/>
        <item x="99"/>
        <item x="144"/>
        <item x="101"/>
        <item x="190"/>
        <item x="251"/>
        <item x="247"/>
        <item x="174"/>
        <item x="179"/>
        <item x="210"/>
        <item x="184"/>
        <item x="278"/>
        <item x="165"/>
        <item x="32"/>
        <item x="126"/>
        <item x="70"/>
        <item x="214"/>
        <item x="128"/>
        <item x="138"/>
        <item x="167"/>
        <item x="225"/>
        <item x="97"/>
        <item x="218"/>
        <item x="231"/>
        <item x="77"/>
        <item x="102"/>
        <item x="183"/>
        <item x="57"/>
        <item x="200"/>
        <item x="92"/>
        <item x="116"/>
        <item x="158"/>
        <item x="204"/>
        <item x="280"/>
        <item x="197"/>
        <item x="26"/>
        <item x="107"/>
        <item x="224"/>
        <item x="219"/>
        <item x="30"/>
        <item x="233"/>
        <item x="47"/>
        <item x="228"/>
        <item x="95"/>
        <item x="173"/>
        <item x="241"/>
        <item x="202"/>
        <item x="270"/>
        <item x="65"/>
        <item x="259"/>
        <item x="111"/>
        <item x="168"/>
        <item x="112"/>
        <item x="269"/>
        <item x="110"/>
        <item x="211"/>
        <item x="246"/>
        <item x="106"/>
        <item x="146"/>
        <item x="98"/>
        <item x="141"/>
        <item x="7"/>
        <item x="130"/>
        <item x="40"/>
        <item x="189"/>
        <item x="176"/>
        <item x="17"/>
        <item x="185"/>
        <item x="276"/>
        <item x="243"/>
        <item x="12"/>
        <item x="249"/>
        <item x="281"/>
        <item x="191"/>
        <item x="93"/>
        <item x="271"/>
        <item x="73"/>
        <item x="62"/>
        <item x="109"/>
        <item x="195"/>
        <item x="39"/>
        <item x="79"/>
        <item x="3"/>
        <item x="20"/>
        <item x="157"/>
        <item x="209"/>
        <item x="153"/>
        <item x="63"/>
        <item x="60"/>
        <item x="239"/>
        <item x="8"/>
        <item x="273"/>
        <item x="160"/>
        <item x="279"/>
        <item x="203"/>
        <item x="11"/>
        <item x="180"/>
        <item x="5"/>
        <item x="41"/>
        <item x="127"/>
        <item x="135"/>
        <item x="234"/>
        <item x="83"/>
        <item x="148"/>
        <item x="142"/>
        <item x="275"/>
        <item x="140"/>
        <item x="117"/>
        <item x="84"/>
        <item x="221"/>
        <item x="6"/>
        <item x="123"/>
        <item x="156"/>
        <item x="90"/>
        <item x="13"/>
        <item x="27"/>
        <item x="208"/>
        <item x="220"/>
        <item x="18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dataField="1" showAll="0"/>
    <pivotField axis="axisPage" showAll="0">
      <items count="3">
        <item x="0"/>
        <item x="1"/>
        <item t="default"/>
      </items>
    </pivotField>
  </pivotFields>
  <rowFields count="1">
    <field x="0"/>
  </rowFields>
  <rowItems count="11">
    <i>
      <x v="37"/>
    </i>
    <i>
      <x v="277"/>
    </i>
    <i>
      <x v="155"/>
    </i>
    <i>
      <x v="17"/>
    </i>
    <i>
      <x v="88"/>
    </i>
    <i>
      <x v="43"/>
    </i>
    <i>
      <x v="85"/>
    </i>
    <i>
      <x v="153"/>
    </i>
    <i>
      <x v="228"/>
    </i>
    <i>
      <x v="251"/>
    </i>
    <i t="grand">
      <x/>
    </i>
  </rowItems>
  <colItems count="1">
    <i/>
  </colItems>
  <pageFields count="1">
    <pageField fld="10" hier="-1"/>
  </pageFields>
  <dataFields count="1">
    <dataField name="Sum of Price Change" fld="9" baseField="0" baseItem="0"/>
  </dataFields>
  <formats count="18">
    <format dxfId="268">
      <pivotArea type="all" dataOnly="0" outline="0" fieldPosition="0"/>
    </format>
    <format dxfId="267">
      <pivotArea outline="0" collapsedLevelsAreSubtotals="1" fieldPosition="0"/>
    </format>
    <format dxfId="266">
      <pivotArea field="0" type="button" dataOnly="0" labelOnly="1" outline="0" axis="axisRow" fieldPosition="0"/>
    </format>
    <format dxfId="265">
      <pivotArea dataOnly="0" labelOnly="1" fieldPosition="0">
        <references count="1">
          <reference field="0" count="10">
            <x v="17"/>
            <x v="37"/>
            <x v="43"/>
            <x v="85"/>
            <x v="88"/>
            <x v="153"/>
            <x v="155"/>
            <x v="228"/>
            <x v="251"/>
            <x v="277"/>
          </reference>
        </references>
      </pivotArea>
    </format>
    <format dxfId="264">
      <pivotArea dataOnly="0" labelOnly="1" grandRow="1" outline="0" fieldPosition="0"/>
    </format>
    <format dxfId="263">
      <pivotArea dataOnly="0" labelOnly="1" outline="0" axis="axisValues" fieldPosition="0"/>
    </format>
    <format dxfId="262">
      <pivotArea type="all" dataOnly="0" outline="0" fieldPosition="0"/>
    </format>
    <format dxfId="261">
      <pivotArea outline="0" collapsedLevelsAreSubtotals="1" fieldPosition="0"/>
    </format>
    <format dxfId="260">
      <pivotArea dataOnly="0" labelOnly="1" outline="0" axis="axisValues" fieldPosition="0"/>
    </format>
    <format dxfId="259">
      <pivotArea outline="0" collapsedLevelsAreSubtotals="1" fieldPosition="0"/>
    </format>
    <format dxfId="258">
      <pivotArea dataOnly="0" labelOnly="1" outline="0" fieldPosition="0">
        <references count="1">
          <reference field="10" count="0"/>
        </references>
      </pivotArea>
    </format>
    <format dxfId="257">
      <pivotArea dataOnly="0" labelOnly="1" outline="0" axis="axisValues" fieldPosition="0"/>
    </format>
    <format dxfId="256">
      <pivotArea type="all" dataOnly="0" outline="0" fieldPosition="0"/>
    </format>
    <format dxfId="255">
      <pivotArea outline="0" collapsedLevelsAreSubtotals="1" fieldPosition="0"/>
    </format>
    <format dxfId="254">
      <pivotArea field="0" type="button" dataOnly="0" labelOnly="1" outline="0" axis="axisRow" fieldPosition="0"/>
    </format>
    <format dxfId="253">
      <pivotArea dataOnly="0" labelOnly="1" fieldPosition="0">
        <references count="1">
          <reference field="0" count="10">
            <x v="17"/>
            <x v="37"/>
            <x v="43"/>
            <x v="85"/>
            <x v="88"/>
            <x v="153"/>
            <x v="155"/>
            <x v="228"/>
            <x v="251"/>
            <x v="277"/>
          </reference>
        </references>
      </pivotArea>
    </format>
    <format dxfId="252">
      <pivotArea dataOnly="0" labelOnly="1" grandRow="1" outline="0" fieldPosition="0"/>
    </format>
    <format dxfId="251">
      <pivotArea dataOnly="0" labelOnly="1" outline="0" axis="axisValues" fieldPosition="0"/>
    </format>
  </formats>
  <chartFormats count="1">
    <chartFormat chart="4"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D30A43F-CA54-41E2-A9CC-14A1C72F6DCA}"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rowHeaderCaption="Coin Name">
  <location ref="F74:I85" firstHeaderRow="0" firstDataRow="1" firstDataCol="1"/>
  <pivotFields count="11">
    <pivotField axis="axisRow" showAll="0" measureFilter="1">
      <items count="301">
        <item x="150"/>
        <item x="99"/>
        <item x="255"/>
        <item x="237"/>
        <item x="268"/>
        <item x="121"/>
        <item x="111"/>
        <item x="229"/>
        <item x="265"/>
        <item x="24"/>
        <item x="154"/>
        <item x="210"/>
        <item x="276"/>
        <item x="137"/>
        <item x="253"/>
        <item x="199"/>
        <item x="179"/>
        <item x="192"/>
        <item x="106"/>
        <item x="85"/>
        <item x="112"/>
        <item x="283"/>
        <item x="202"/>
        <item x="290"/>
        <item x="64"/>
        <item x="193"/>
        <item x="278"/>
        <item x="235"/>
        <item x="274"/>
        <item x="249"/>
        <item x="227"/>
        <item x="37"/>
        <item x="46"/>
        <item x="62"/>
        <item x="1"/>
        <item x="140"/>
        <item x="128"/>
        <item x="23"/>
        <item x="113"/>
        <item x="252"/>
        <item x="63"/>
        <item x="207"/>
        <item x="4"/>
        <item x="101"/>
        <item x="132"/>
        <item x="131"/>
        <item x="110"/>
        <item x="231"/>
        <item x="159"/>
        <item x="19"/>
        <item x="35"/>
        <item x="130"/>
        <item x="14"/>
        <item x="86"/>
        <item x="17"/>
        <item x="89"/>
        <item x="26"/>
        <item x="212"/>
        <item x="55"/>
        <item x="256"/>
        <item x="0"/>
        <item x="224"/>
        <item x="47"/>
        <item x="107"/>
        <item x="169"/>
        <item x="225"/>
        <item x="258"/>
        <item x="271"/>
        <item x="239"/>
        <item x="282"/>
        <item x="166"/>
        <item x="15"/>
        <item x="143"/>
        <item x="186"/>
        <item x="105"/>
        <item x="98"/>
        <item x="216"/>
        <item x="257"/>
        <item x="218"/>
        <item x="246"/>
        <item x="178"/>
        <item x="217"/>
        <item x="286"/>
        <item x="134"/>
        <item x="71"/>
        <item x="127"/>
        <item x="10"/>
        <item x="262"/>
        <item x="213"/>
        <item x="153"/>
        <item x="189"/>
        <item x="56"/>
        <item x="187"/>
        <item x="214"/>
        <item x="22"/>
        <item x="2"/>
        <item x="174"/>
        <item x="34"/>
        <item x="222"/>
        <item x="123"/>
        <item x="146"/>
        <item x="100"/>
        <item x="126"/>
        <item x="183"/>
        <item x="73"/>
        <item x="54"/>
        <item x="141"/>
        <item x="38"/>
        <item x="165"/>
        <item x="81"/>
        <item x="67"/>
        <item x="270"/>
        <item x="29"/>
        <item x="289"/>
        <item x="263"/>
        <item x="129"/>
        <item x="264"/>
        <item x="162"/>
        <item x="158"/>
        <item x="176"/>
        <item x="161"/>
        <item x="148"/>
        <item x="33"/>
        <item x="51"/>
        <item x="296"/>
        <item x="9"/>
        <item x="240"/>
        <item x="191"/>
        <item x="20"/>
        <item x="204"/>
        <item x="152"/>
        <item x="77"/>
        <item x="93"/>
        <item x="251"/>
        <item x="223"/>
        <item x="185"/>
        <item x="133"/>
        <item x="254"/>
        <item x="16"/>
        <item x="36"/>
        <item x="220"/>
        <item x="288"/>
        <item x="181"/>
        <item x="250"/>
        <item x="267"/>
        <item x="31"/>
        <item x="164"/>
        <item x="53"/>
        <item x="45"/>
        <item x="92"/>
        <item x="284"/>
        <item x="60"/>
        <item x="171"/>
        <item x="197"/>
        <item x="69"/>
        <item x="52"/>
        <item x="144"/>
        <item x="243"/>
        <item x="80"/>
        <item x="75"/>
        <item x="79"/>
        <item x="247"/>
        <item x="236"/>
        <item x="147"/>
        <item x="145"/>
        <item x="108"/>
        <item x="28"/>
        <item x="291"/>
        <item x="124"/>
        <item x="58"/>
        <item x="211"/>
        <item x="104"/>
        <item x="209"/>
        <item x="103"/>
        <item x="151"/>
        <item x="232"/>
        <item x="269"/>
        <item x="221"/>
        <item x="188"/>
        <item x="83"/>
        <item x="226"/>
        <item x="280"/>
        <item x="32"/>
        <item x="277"/>
        <item x="156"/>
        <item x="122"/>
        <item x="76"/>
        <item x="138"/>
        <item x="172"/>
        <item x="160"/>
        <item x="234"/>
        <item x="244"/>
        <item x="167"/>
        <item x="96"/>
        <item x="194"/>
        <item x="195"/>
        <item x="196"/>
        <item x="182"/>
        <item x="203"/>
        <item x="294"/>
        <item x="208"/>
        <item x="287"/>
        <item x="109"/>
        <item x="49"/>
        <item x="170"/>
        <item x="65"/>
        <item x="30"/>
        <item x="50"/>
        <item x="142"/>
        <item x="238"/>
        <item x="215"/>
        <item x="90"/>
        <item x="242"/>
        <item x="168"/>
        <item x="241"/>
        <item x="299"/>
        <item x="66"/>
        <item x="175"/>
        <item x="94"/>
        <item x="279"/>
        <item x="275"/>
        <item x="115"/>
        <item x="120"/>
        <item x="177"/>
        <item x="74"/>
        <item x="114"/>
        <item x="116"/>
        <item x="259"/>
        <item x="118"/>
        <item x="139"/>
        <item x="91"/>
        <item x="25"/>
        <item x="97"/>
        <item x="7"/>
        <item x="206"/>
        <item x="42"/>
        <item x="102"/>
        <item x="18"/>
        <item x="136"/>
        <item x="261"/>
        <item x="88"/>
        <item x="200"/>
        <item x="13"/>
        <item x="78"/>
        <item x="245"/>
        <item x="72"/>
        <item x="292"/>
        <item x="260"/>
        <item x="117"/>
        <item x="198"/>
        <item x="149"/>
        <item x="70"/>
        <item x="39"/>
        <item x="190"/>
        <item x="3"/>
        <item x="21"/>
        <item x="125"/>
        <item x="163"/>
        <item x="248"/>
        <item x="281"/>
        <item x="61"/>
        <item x="8"/>
        <item x="285"/>
        <item x="43"/>
        <item x="57"/>
        <item x="11"/>
        <item x="95"/>
        <item x="41"/>
        <item x="5"/>
        <item x="44"/>
        <item x="40"/>
        <item x="230"/>
        <item x="157"/>
        <item x="205"/>
        <item x="82"/>
        <item x="297"/>
        <item x="155"/>
        <item x="228"/>
        <item x="293"/>
        <item x="135"/>
        <item x="272"/>
        <item x="184"/>
        <item x="84"/>
        <item x="201"/>
        <item x="180"/>
        <item x="273"/>
        <item x="266"/>
        <item x="298"/>
        <item x="6"/>
        <item x="68"/>
        <item x="59"/>
        <item x="87"/>
        <item x="48"/>
        <item x="12"/>
        <item x="27"/>
        <item x="219"/>
        <item x="173"/>
        <item x="233"/>
        <item x="119"/>
        <item x="295"/>
        <item t="default"/>
      </items>
    </pivotField>
    <pivotField showAll="0"/>
    <pivotField showAll="0"/>
    <pivotField dataField="1" showAll="0"/>
    <pivotField showAll="0"/>
    <pivotField showAll="0"/>
    <pivotField showAll="0"/>
    <pivotField dataField="1" showAll="0"/>
    <pivotField dataField="1" showAll="0"/>
    <pivotField showAll="0"/>
    <pivotField showAll="0">
      <items count="6">
        <item x="4"/>
        <item x="2"/>
        <item x="1"/>
        <item x="3"/>
        <item x="0"/>
        <item t="default"/>
      </items>
    </pivotField>
  </pivotFields>
  <rowFields count="1">
    <field x="0"/>
  </rowFields>
  <rowItems count="11">
    <i>
      <x v="2"/>
    </i>
    <i>
      <x v="28"/>
    </i>
    <i>
      <x v="63"/>
    </i>
    <i>
      <x v="84"/>
    </i>
    <i>
      <x v="126"/>
    </i>
    <i>
      <x v="147"/>
    </i>
    <i>
      <x v="176"/>
    </i>
    <i>
      <x v="232"/>
    </i>
    <i>
      <x v="291"/>
    </i>
    <i>
      <x v="299"/>
    </i>
    <i t="grand">
      <x/>
    </i>
  </rowItems>
  <colFields count="1">
    <field x="-2"/>
  </colFields>
  <colItems count="3">
    <i>
      <x/>
    </i>
    <i i="1">
      <x v="1"/>
    </i>
    <i i="2">
      <x v="2"/>
    </i>
  </colItems>
  <dataFields count="3">
    <dataField name="Sum of 1h Change (%)" fld="3" baseField="0" baseItem="0"/>
    <dataField name="Sum of 24h Price" fld="7" baseField="0" baseItem="0"/>
    <dataField name="Sum of 7d Price" fld="8" baseField="0" baseItem="0"/>
  </dataFields>
  <formats count="10">
    <format dxfId="250">
      <pivotArea outline="0" collapsedLevelsAreSubtotals="1" fieldPosition="0"/>
    </format>
    <format dxfId="249">
      <pivotArea dataOnly="0" labelOnly="1" outline="0" fieldPosition="0">
        <references count="1">
          <reference field="4294967294" count="3">
            <x v="0"/>
            <x v="1"/>
            <x v="2"/>
          </reference>
        </references>
      </pivotArea>
    </format>
    <format dxfId="248">
      <pivotArea outline="0" collapsedLevelsAreSubtotals="1" fieldPosition="0"/>
    </format>
    <format dxfId="247">
      <pivotArea dataOnly="0" labelOnly="1" outline="0" fieldPosition="0">
        <references count="1">
          <reference field="4294967294" count="3">
            <x v="0"/>
            <x v="1"/>
            <x v="2"/>
          </reference>
        </references>
      </pivotArea>
    </format>
    <format dxfId="246">
      <pivotArea type="all" dataOnly="0" outline="0" fieldPosition="0"/>
    </format>
    <format dxfId="245">
      <pivotArea outline="0" collapsedLevelsAreSubtotals="1" fieldPosition="0"/>
    </format>
    <format dxfId="244">
      <pivotArea field="0" type="button" dataOnly="0" labelOnly="1" outline="0" axis="axisRow" fieldPosition="0"/>
    </format>
    <format dxfId="243">
      <pivotArea dataOnly="0" labelOnly="1" fieldPosition="0">
        <references count="1">
          <reference field="0" count="10">
            <x v="2"/>
            <x v="28"/>
            <x v="63"/>
            <x v="84"/>
            <x v="126"/>
            <x v="147"/>
            <x v="176"/>
            <x v="232"/>
            <x v="291"/>
            <x v="299"/>
          </reference>
        </references>
      </pivotArea>
    </format>
    <format dxfId="242">
      <pivotArea dataOnly="0" labelOnly="1" grandRow="1" outline="0" fieldPosition="0"/>
    </format>
    <format dxfId="241">
      <pivotArea dataOnly="0" labelOnly="1" outline="0" fieldPosition="0">
        <references count="1">
          <reference field="4294967294" count="3">
            <x v="0"/>
            <x v="1"/>
            <x v="2"/>
          </reference>
        </references>
      </pivotArea>
    </format>
  </formats>
  <chartFormats count="3">
    <chartFormat chart="10" format="0"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1"/>
          </reference>
        </references>
      </pivotArea>
    </chartFormat>
    <chartFormat chart="1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D74E049-3F2B-4B61-9F0B-958607E10723}"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07:C228" firstHeaderRow="0" firstDataRow="1" firstDataCol="1" rowPageCount="1" colPageCount="1"/>
  <pivotFields count="11">
    <pivotField axis="axisRow" showAll="0" measureFilter="1" sortType="ascending">
      <items count="301">
        <item x="150"/>
        <item x="99"/>
        <item x="255"/>
        <item x="237"/>
        <item x="268"/>
        <item x="121"/>
        <item x="111"/>
        <item x="229"/>
        <item x="265"/>
        <item x="24"/>
        <item x="154"/>
        <item x="210"/>
        <item x="276"/>
        <item x="137"/>
        <item x="253"/>
        <item x="199"/>
        <item x="179"/>
        <item x="192"/>
        <item x="106"/>
        <item x="85"/>
        <item x="112"/>
        <item x="283"/>
        <item x="202"/>
        <item x="290"/>
        <item x="64"/>
        <item x="193"/>
        <item x="278"/>
        <item x="235"/>
        <item x="274"/>
        <item x="249"/>
        <item x="227"/>
        <item x="37"/>
        <item x="46"/>
        <item x="62"/>
        <item x="1"/>
        <item x="140"/>
        <item x="128"/>
        <item x="23"/>
        <item x="113"/>
        <item x="252"/>
        <item x="63"/>
        <item x="207"/>
        <item x="4"/>
        <item x="101"/>
        <item x="132"/>
        <item x="131"/>
        <item x="110"/>
        <item x="231"/>
        <item x="159"/>
        <item x="19"/>
        <item x="35"/>
        <item x="130"/>
        <item x="14"/>
        <item x="86"/>
        <item x="17"/>
        <item x="89"/>
        <item x="26"/>
        <item x="212"/>
        <item x="55"/>
        <item x="256"/>
        <item x="0"/>
        <item x="224"/>
        <item x="47"/>
        <item x="107"/>
        <item x="169"/>
        <item x="225"/>
        <item x="258"/>
        <item x="271"/>
        <item x="239"/>
        <item x="282"/>
        <item x="166"/>
        <item x="15"/>
        <item x="143"/>
        <item x="186"/>
        <item x="105"/>
        <item x="98"/>
        <item x="216"/>
        <item x="257"/>
        <item x="218"/>
        <item x="246"/>
        <item x="178"/>
        <item x="217"/>
        <item x="286"/>
        <item x="134"/>
        <item x="71"/>
        <item x="127"/>
        <item x="10"/>
        <item x="262"/>
        <item x="213"/>
        <item x="153"/>
        <item x="189"/>
        <item x="56"/>
        <item x="187"/>
        <item x="214"/>
        <item x="22"/>
        <item x="2"/>
        <item x="174"/>
        <item x="34"/>
        <item x="222"/>
        <item x="123"/>
        <item x="146"/>
        <item x="100"/>
        <item x="126"/>
        <item x="183"/>
        <item x="73"/>
        <item x="54"/>
        <item x="141"/>
        <item x="38"/>
        <item x="165"/>
        <item x="81"/>
        <item x="67"/>
        <item x="270"/>
        <item x="29"/>
        <item x="289"/>
        <item x="263"/>
        <item x="129"/>
        <item x="264"/>
        <item x="162"/>
        <item x="158"/>
        <item x="176"/>
        <item x="161"/>
        <item x="148"/>
        <item x="33"/>
        <item x="51"/>
        <item x="296"/>
        <item x="9"/>
        <item x="240"/>
        <item x="191"/>
        <item x="20"/>
        <item x="204"/>
        <item x="152"/>
        <item x="77"/>
        <item x="93"/>
        <item x="251"/>
        <item x="223"/>
        <item x="185"/>
        <item x="133"/>
        <item x="254"/>
        <item x="16"/>
        <item x="36"/>
        <item x="220"/>
        <item x="288"/>
        <item x="181"/>
        <item x="250"/>
        <item x="267"/>
        <item x="31"/>
        <item x="164"/>
        <item x="53"/>
        <item x="45"/>
        <item x="92"/>
        <item x="284"/>
        <item x="60"/>
        <item x="171"/>
        <item x="197"/>
        <item x="69"/>
        <item x="52"/>
        <item x="144"/>
        <item x="243"/>
        <item x="80"/>
        <item x="75"/>
        <item x="79"/>
        <item x="247"/>
        <item x="236"/>
        <item x="147"/>
        <item x="145"/>
        <item x="108"/>
        <item x="28"/>
        <item x="291"/>
        <item x="124"/>
        <item x="58"/>
        <item x="211"/>
        <item x="104"/>
        <item x="209"/>
        <item x="103"/>
        <item x="151"/>
        <item x="232"/>
        <item x="269"/>
        <item x="221"/>
        <item x="188"/>
        <item x="83"/>
        <item x="226"/>
        <item x="280"/>
        <item x="32"/>
        <item x="277"/>
        <item x="156"/>
        <item x="122"/>
        <item x="76"/>
        <item x="138"/>
        <item x="172"/>
        <item x="160"/>
        <item x="234"/>
        <item x="244"/>
        <item x="167"/>
        <item x="96"/>
        <item x="194"/>
        <item x="195"/>
        <item x="196"/>
        <item x="182"/>
        <item x="203"/>
        <item x="294"/>
        <item x="208"/>
        <item x="287"/>
        <item x="109"/>
        <item x="49"/>
        <item x="170"/>
        <item x="65"/>
        <item x="30"/>
        <item x="50"/>
        <item x="142"/>
        <item x="238"/>
        <item x="215"/>
        <item x="90"/>
        <item x="242"/>
        <item x="168"/>
        <item x="241"/>
        <item x="299"/>
        <item x="66"/>
        <item x="175"/>
        <item x="94"/>
        <item x="279"/>
        <item x="275"/>
        <item x="115"/>
        <item x="120"/>
        <item x="177"/>
        <item x="74"/>
        <item x="114"/>
        <item x="116"/>
        <item x="259"/>
        <item x="118"/>
        <item x="139"/>
        <item x="91"/>
        <item x="25"/>
        <item x="97"/>
        <item x="7"/>
        <item x="206"/>
        <item x="42"/>
        <item x="102"/>
        <item x="18"/>
        <item x="136"/>
        <item x="261"/>
        <item x="88"/>
        <item x="200"/>
        <item x="13"/>
        <item x="78"/>
        <item x="245"/>
        <item x="72"/>
        <item x="292"/>
        <item x="260"/>
        <item x="117"/>
        <item x="198"/>
        <item x="149"/>
        <item x="70"/>
        <item x="39"/>
        <item x="190"/>
        <item x="3"/>
        <item x="21"/>
        <item x="125"/>
        <item x="163"/>
        <item x="248"/>
        <item x="281"/>
        <item x="61"/>
        <item x="8"/>
        <item x="285"/>
        <item x="43"/>
        <item x="57"/>
        <item x="11"/>
        <item x="95"/>
        <item x="41"/>
        <item x="5"/>
        <item x="44"/>
        <item x="40"/>
        <item x="230"/>
        <item x="157"/>
        <item x="205"/>
        <item x="82"/>
        <item x="297"/>
        <item x="155"/>
        <item x="228"/>
        <item x="293"/>
        <item x="135"/>
        <item x="272"/>
        <item x="184"/>
        <item x="84"/>
        <item x="201"/>
        <item x="180"/>
        <item x="273"/>
        <item x="266"/>
        <item x="298"/>
        <item x="6"/>
        <item x="68"/>
        <item x="59"/>
        <item x="87"/>
        <item x="48"/>
        <item x="12"/>
        <item x="27"/>
        <item x="219"/>
        <item x="173"/>
        <item x="233"/>
        <item x="119"/>
        <item x="295"/>
        <item t="default"/>
      </items>
      <autoSortScope>
        <pivotArea dataOnly="0" outline="0" fieldPosition="0">
          <references count="1">
            <reference field="4294967294" count="1" selected="0">
              <x v="0"/>
            </reference>
          </references>
        </pivotArea>
      </autoSortScope>
    </pivotField>
    <pivotField axis="axisRow" showAll="0">
      <items count="301">
        <item x="247"/>
        <item x="28"/>
        <item x="203"/>
        <item x="150"/>
        <item x="229"/>
        <item x="112"/>
        <item x="99"/>
        <item x="255"/>
        <item x="268"/>
        <item x="237"/>
        <item x="121"/>
        <item x="161"/>
        <item x="111"/>
        <item x="202"/>
        <item x="265"/>
        <item x="154"/>
        <item x="210"/>
        <item x="253"/>
        <item x="199"/>
        <item x="179"/>
        <item x="192"/>
        <item x="85"/>
        <item x="137"/>
        <item x="283"/>
        <item x="64"/>
        <item x="290"/>
        <item x="193"/>
        <item x="278"/>
        <item x="19"/>
        <item x="235"/>
        <item x="69"/>
        <item x="140"/>
        <item x="37"/>
        <item x="227"/>
        <item x="249"/>
        <item x="46"/>
        <item x="239"/>
        <item x="113"/>
        <item x="146"/>
        <item x="252"/>
        <item x="63"/>
        <item x="207"/>
        <item x="159"/>
        <item x="4"/>
        <item x="295"/>
        <item x="101"/>
        <item x="105"/>
        <item x="110"/>
        <item x="62"/>
        <item x="231"/>
        <item x="143"/>
        <item x="1"/>
        <item x="128"/>
        <item x="131"/>
        <item x="23"/>
        <item x="274"/>
        <item x="291"/>
        <item x="47"/>
        <item x="139"/>
        <item x="14"/>
        <item x="282"/>
        <item x="26"/>
        <item x="141"/>
        <item x="0"/>
        <item x="256"/>
        <item x="224"/>
        <item x="225"/>
        <item x="67"/>
        <item x="271"/>
        <item x="166"/>
        <item x="94"/>
        <item x="15"/>
        <item x="258"/>
        <item x="212"/>
        <item x="86"/>
        <item x="116"/>
        <item x="35"/>
        <item x="89"/>
        <item x="107"/>
        <item x="242"/>
        <item x="257"/>
        <item x="98"/>
        <item x="216"/>
        <item x="246"/>
        <item x="217"/>
        <item x="71"/>
        <item x="186"/>
        <item x="134"/>
        <item x="127"/>
        <item x="10"/>
        <item x="262"/>
        <item x="213"/>
        <item x="178"/>
        <item x="153"/>
        <item x="148"/>
        <item x="189"/>
        <item x="214"/>
        <item x="130"/>
        <item x="218"/>
        <item x="87"/>
        <item x="2"/>
        <item x="22"/>
        <item x="276"/>
        <item x="174"/>
        <item x="123"/>
        <item x="100"/>
        <item x="222"/>
        <item x="126"/>
        <item x="183"/>
        <item x="54"/>
        <item x="38"/>
        <item x="81"/>
        <item x="289"/>
        <item x="270"/>
        <item x="73"/>
        <item x="29"/>
        <item x="263"/>
        <item x="165"/>
        <item x="129"/>
        <item x="264"/>
        <item x="158"/>
        <item x="236"/>
        <item x="162"/>
        <item x="245"/>
        <item x="33"/>
        <item x="51"/>
        <item x="296"/>
        <item x="9"/>
        <item x="240"/>
        <item x="204"/>
        <item x="223"/>
        <item x="191"/>
        <item x="20"/>
        <item x="93"/>
        <item x="251"/>
        <item x="133"/>
        <item x="185"/>
        <item x="254"/>
        <item x="36"/>
        <item x="16"/>
        <item x="220"/>
        <item x="288"/>
        <item x="55"/>
        <item x="181"/>
        <item x="250"/>
        <item x="267"/>
        <item x="164"/>
        <item x="31"/>
        <item x="194"/>
        <item x="11"/>
        <item x="53"/>
        <item x="45"/>
        <item x="60"/>
        <item x="284"/>
        <item x="197"/>
        <item x="171"/>
        <item x="144"/>
        <item x="52"/>
        <item x="92"/>
        <item x="243"/>
        <item x="80"/>
        <item x="79"/>
        <item x="176"/>
        <item x="58"/>
        <item x="108"/>
        <item x="187"/>
        <item x="124"/>
        <item x="75"/>
        <item x="147"/>
        <item x="145"/>
        <item x="211"/>
        <item x="104"/>
        <item x="209"/>
        <item x="103"/>
        <item x="151"/>
        <item x="24"/>
        <item x="269"/>
        <item x="221"/>
        <item x="188"/>
        <item x="83"/>
        <item x="226"/>
        <item x="280"/>
        <item x="138"/>
        <item x="277"/>
        <item x="172"/>
        <item x="56"/>
        <item x="122"/>
        <item x="76"/>
        <item x="160"/>
        <item x="156"/>
        <item x="234"/>
        <item x="244"/>
        <item x="232"/>
        <item x="167"/>
        <item x="96"/>
        <item x="195"/>
        <item x="135"/>
        <item x="78"/>
        <item x="294"/>
        <item x="208"/>
        <item x="287"/>
        <item x="155"/>
        <item x="196"/>
        <item x="49"/>
        <item x="109"/>
        <item x="77"/>
        <item x="170"/>
        <item x="65"/>
        <item x="30"/>
        <item x="142"/>
        <item x="168"/>
        <item x="238"/>
        <item x="215"/>
        <item x="90"/>
        <item x="241"/>
        <item x="299"/>
        <item x="66"/>
        <item x="175"/>
        <item x="50"/>
        <item x="279"/>
        <item x="275"/>
        <item x="115"/>
        <item x="120"/>
        <item x="200"/>
        <item x="177"/>
        <item x="114"/>
        <item x="259"/>
        <item x="118"/>
        <item x="91"/>
        <item x="74"/>
        <item x="25"/>
        <item x="97"/>
        <item x="292"/>
        <item x="119"/>
        <item x="70"/>
        <item x="206"/>
        <item x="88"/>
        <item x="7"/>
        <item x="102"/>
        <item x="18"/>
        <item x="261"/>
        <item x="136"/>
        <item x="72"/>
        <item x="260"/>
        <item x="198"/>
        <item x="39"/>
        <item x="17"/>
        <item x="125"/>
        <item x="163"/>
        <item x="190"/>
        <item x="248"/>
        <item x="182"/>
        <item x="61"/>
        <item x="152"/>
        <item x="8"/>
        <item x="149"/>
        <item x="281"/>
        <item x="57"/>
        <item x="43"/>
        <item x="285"/>
        <item x="95"/>
        <item x="40"/>
        <item x="41"/>
        <item x="5"/>
        <item x="34"/>
        <item x="44"/>
        <item x="3"/>
        <item x="32"/>
        <item x="42"/>
        <item x="230"/>
        <item x="82"/>
        <item x="157"/>
        <item x="233"/>
        <item x="205"/>
        <item x="297"/>
        <item x="180"/>
        <item x="293"/>
        <item x="184"/>
        <item x="272"/>
        <item x="228"/>
        <item x="84"/>
        <item x="201"/>
        <item x="106"/>
        <item x="273"/>
        <item x="266"/>
        <item x="13"/>
        <item x="298"/>
        <item x="169"/>
        <item x="6"/>
        <item x="21"/>
        <item x="117"/>
        <item x="68"/>
        <item x="59"/>
        <item x="286"/>
        <item x="48"/>
        <item x="27"/>
        <item x="12"/>
        <item x="219"/>
        <item x="132"/>
        <item x="173"/>
        <item t="default"/>
      </items>
    </pivotField>
    <pivotField dataField="1" showAll="0"/>
    <pivotField showAll="0"/>
    <pivotField showAll="0"/>
    <pivotField showAll="0"/>
    <pivotField showAll="0"/>
    <pivotField showAll="0"/>
    <pivotField showAll="0"/>
    <pivotField dataField="1" showAll="0"/>
    <pivotField axis="axisPage" showAll="0">
      <items count="6">
        <item x="4"/>
        <item x="2"/>
        <item x="1"/>
        <item x="3"/>
        <item x="0"/>
        <item t="default"/>
      </items>
    </pivotField>
  </pivotFields>
  <rowFields count="2">
    <field x="0"/>
    <field x="1"/>
  </rowFields>
  <rowItems count="21">
    <i>
      <x v="35"/>
    </i>
    <i r="1">
      <x v="31"/>
    </i>
    <i>
      <x v="270"/>
    </i>
    <i r="1">
      <x v="261"/>
    </i>
    <i>
      <x v="268"/>
    </i>
    <i r="1">
      <x v="263"/>
    </i>
    <i>
      <x v="55"/>
    </i>
    <i r="1">
      <x v="77"/>
    </i>
    <i>
      <x v="267"/>
    </i>
    <i r="1">
      <x v="262"/>
    </i>
    <i>
      <x v="107"/>
    </i>
    <i r="1">
      <x v="110"/>
    </i>
    <i>
      <x v="269"/>
    </i>
    <i r="1">
      <x v="265"/>
    </i>
    <i>
      <x v="249"/>
    </i>
    <i r="1">
      <x v="244"/>
    </i>
    <i>
      <x v="254"/>
    </i>
    <i r="1">
      <x v="266"/>
    </i>
    <i>
      <x v="97"/>
    </i>
    <i r="1">
      <x v="264"/>
    </i>
    <i t="grand">
      <x/>
    </i>
  </rowItems>
  <colFields count="1">
    <field x="-2"/>
  </colFields>
  <colItems count="2">
    <i>
      <x/>
    </i>
    <i i="1">
      <x v="1"/>
    </i>
  </colItems>
  <pageFields count="1">
    <pageField fld="10" hier="-1"/>
  </pageFields>
  <dataFields count="2">
    <dataField name="Average of Average Downfall %" fld="9" subtotal="average" baseField="0" baseItem="5" numFmtId="168"/>
    <dataField name="Sum of Price (USD)" fld="2" baseField="0" baseItem="0" numFmtId="167"/>
  </dataFields>
  <formats count="20">
    <format dxfId="356">
      <pivotArea type="all" dataOnly="0" outline="0" fieldPosition="0"/>
    </format>
    <format dxfId="355">
      <pivotArea outline="0" collapsedLevelsAreSubtotals="1" fieldPosition="0"/>
    </format>
    <format dxfId="354">
      <pivotArea field="0" type="button" dataOnly="0" labelOnly="1" outline="0" axis="axisRow" fieldPosition="0"/>
    </format>
    <format dxfId="353">
      <pivotArea dataOnly="0" labelOnly="1" fieldPosition="0">
        <references count="1">
          <reference field="0" count="10">
            <x v="35"/>
            <x v="55"/>
            <x v="97"/>
            <x v="107"/>
            <x v="249"/>
            <x v="254"/>
            <x v="267"/>
            <x v="268"/>
            <x v="269"/>
            <x v="270"/>
          </reference>
        </references>
      </pivotArea>
    </format>
    <format dxfId="352">
      <pivotArea dataOnly="0" labelOnly="1" grandRow="1" outline="0" fieldPosition="0"/>
    </format>
    <format dxfId="351">
      <pivotArea dataOnly="0" labelOnly="1" fieldPosition="0">
        <references count="2">
          <reference field="0" count="1" selected="0">
            <x v="35"/>
          </reference>
          <reference field="1" count="1">
            <x v="31"/>
          </reference>
        </references>
      </pivotArea>
    </format>
    <format dxfId="350">
      <pivotArea dataOnly="0" labelOnly="1" fieldPosition="0">
        <references count="2">
          <reference field="0" count="1" selected="0">
            <x v="270"/>
          </reference>
          <reference field="1" count="1">
            <x v="261"/>
          </reference>
        </references>
      </pivotArea>
    </format>
    <format dxfId="349">
      <pivotArea dataOnly="0" labelOnly="1" fieldPosition="0">
        <references count="2">
          <reference field="0" count="1" selected="0">
            <x v="268"/>
          </reference>
          <reference field="1" count="1">
            <x v="263"/>
          </reference>
        </references>
      </pivotArea>
    </format>
    <format dxfId="348">
      <pivotArea dataOnly="0" labelOnly="1" fieldPosition="0">
        <references count="2">
          <reference field="0" count="1" selected="0">
            <x v="55"/>
          </reference>
          <reference field="1" count="1">
            <x v="77"/>
          </reference>
        </references>
      </pivotArea>
    </format>
    <format dxfId="347">
      <pivotArea dataOnly="0" labelOnly="1" fieldPosition="0">
        <references count="2">
          <reference field="0" count="1" selected="0">
            <x v="267"/>
          </reference>
          <reference field="1" count="1">
            <x v="262"/>
          </reference>
        </references>
      </pivotArea>
    </format>
    <format dxfId="346">
      <pivotArea dataOnly="0" labelOnly="1" fieldPosition="0">
        <references count="2">
          <reference field="0" count="1" selected="0">
            <x v="107"/>
          </reference>
          <reference field="1" count="1">
            <x v="110"/>
          </reference>
        </references>
      </pivotArea>
    </format>
    <format dxfId="345">
      <pivotArea dataOnly="0" labelOnly="1" fieldPosition="0">
        <references count="2">
          <reference field="0" count="1" selected="0">
            <x v="269"/>
          </reference>
          <reference field="1" count="1">
            <x v="265"/>
          </reference>
        </references>
      </pivotArea>
    </format>
    <format dxfId="344">
      <pivotArea dataOnly="0" labelOnly="1" fieldPosition="0">
        <references count="2">
          <reference field="0" count="1" selected="0">
            <x v="249"/>
          </reference>
          <reference field="1" count="1">
            <x v="244"/>
          </reference>
        </references>
      </pivotArea>
    </format>
    <format dxfId="343">
      <pivotArea dataOnly="0" labelOnly="1" fieldPosition="0">
        <references count="2">
          <reference field="0" count="1" selected="0">
            <x v="254"/>
          </reference>
          <reference field="1" count="1">
            <x v="266"/>
          </reference>
        </references>
      </pivotArea>
    </format>
    <format dxfId="342">
      <pivotArea dataOnly="0" labelOnly="1" fieldPosition="0">
        <references count="2">
          <reference field="0" count="1" selected="0">
            <x v="97"/>
          </reference>
          <reference field="1" count="1">
            <x v="264"/>
          </reference>
        </references>
      </pivotArea>
    </format>
    <format dxfId="341">
      <pivotArea dataOnly="0" labelOnly="1" outline="0" fieldPosition="0">
        <references count="1">
          <reference field="4294967294" count="2">
            <x v="0"/>
            <x v="1"/>
          </reference>
        </references>
      </pivotArea>
    </format>
    <format dxfId="340">
      <pivotArea outline="0" collapsedLevelsAreSubtotals="1" fieldPosition="0">
        <references count="1">
          <reference field="4294967294" count="1" selected="0">
            <x v="1"/>
          </reference>
        </references>
      </pivotArea>
    </format>
    <format dxfId="339">
      <pivotArea dataOnly="0" labelOnly="1" outline="0" fieldPosition="0">
        <references count="1">
          <reference field="4294967294" count="1">
            <x v="1"/>
          </reference>
        </references>
      </pivotArea>
    </format>
    <format dxfId="338">
      <pivotArea outline="0" collapsedLevelsAreSubtotals="1" fieldPosition="0">
        <references count="1">
          <reference field="4294967294" count="1" selected="0">
            <x v="0"/>
          </reference>
        </references>
      </pivotArea>
    </format>
    <format dxfId="337">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filters count="1">
    <filter fld="0" type="count" evalOrder="-1" id="2"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64A81A0-1E1A-4AEB-8102-3839D219584F}"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46:B547" firstHeaderRow="1" firstDataRow="1" firstDataCol="1" rowPageCount="1" colPageCount="1"/>
  <pivotFields count="11">
    <pivotField axis="axisRow" showAll="0" sortType="ascending">
      <items count="301">
        <item x="150"/>
        <item x="99"/>
        <item x="255"/>
        <item x="237"/>
        <item x="268"/>
        <item x="121"/>
        <item x="111"/>
        <item x="229"/>
        <item x="265"/>
        <item x="24"/>
        <item x="154"/>
        <item x="210"/>
        <item x="276"/>
        <item x="137"/>
        <item x="253"/>
        <item x="199"/>
        <item x="179"/>
        <item x="192"/>
        <item x="106"/>
        <item x="85"/>
        <item x="112"/>
        <item x="283"/>
        <item x="202"/>
        <item x="290"/>
        <item x="64"/>
        <item x="193"/>
        <item x="278"/>
        <item x="235"/>
        <item x="274"/>
        <item x="249"/>
        <item x="227"/>
        <item x="37"/>
        <item x="46"/>
        <item x="62"/>
        <item x="1"/>
        <item x="140"/>
        <item x="128"/>
        <item x="23"/>
        <item x="113"/>
        <item x="252"/>
        <item x="63"/>
        <item x="207"/>
        <item x="4"/>
        <item x="101"/>
        <item x="132"/>
        <item x="131"/>
        <item x="110"/>
        <item x="231"/>
        <item x="159"/>
        <item x="19"/>
        <item x="35"/>
        <item x="130"/>
        <item x="14"/>
        <item x="86"/>
        <item x="17"/>
        <item x="89"/>
        <item x="26"/>
        <item x="212"/>
        <item x="55"/>
        <item x="256"/>
        <item x="0"/>
        <item x="224"/>
        <item x="47"/>
        <item x="107"/>
        <item x="169"/>
        <item x="225"/>
        <item x="258"/>
        <item x="271"/>
        <item x="239"/>
        <item x="282"/>
        <item x="166"/>
        <item x="15"/>
        <item x="143"/>
        <item x="186"/>
        <item x="105"/>
        <item x="98"/>
        <item x="216"/>
        <item x="257"/>
        <item x="218"/>
        <item x="246"/>
        <item x="178"/>
        <item x="217"/>
        <item x="286"/>
        <item x="134"/>
        <item x="71"/>
        <item x="127"/>
        <item x="10"/>
        <item x="262"/>
        <item x="213"/>
        <item x="153"/>
        <item x="189"/>
        <item x="56"/>
        <item x="187"/>
        <item x="214"/>
        <item x="22"/>
        <item x="2"/>
        <item x="174"/>
        <item x="34"/>
        <item x="222"/>
        <item x="123"/>
        <item x="146"/>
        <item x="100"/>
        <item x="126"/>
        <item x="183"/>
        <item x="73"/>
        <item x="54"/>
        <item x="141"/>
        <item x="38"/>
        <item x="165"/>
        <item x="81"/>
        <item x="67"/>
        <item x="270"/>
        <item x="29"/>
        <item x="289"/>
        <item x="263"/>
        <item x="129"/>
        <item x="264"/>
        <item x="162"/>
        <item x="158"/>
        <item x="176"/>
        <item x="161"/>
        <item x="148"/>
        <item x="33"/>
        <item x="51"/>
        <item x="296"/>
        <item x="9"/>
        <item x="240"/>
        <item x="191"/>
        <item x="20"/>
        <item x="204"/>
        <item x="152"/>
        <item x="77"/>
        <item x="93"/>
        <item x="251"/>
        <item x="223"/>
        <item x="185"/>
        <item x="133"/>
        <item x="254"/>
        <item x="16"/>
        <item x="36"/>
        <item x="220"/>
        <item x="288"/>
        <item x="181"/>
        <item x="250"/>
        <item x="267"/>
        <item x="31"/>
        <item x="164"/>
        <item x="53"/>
        <item x="45"/>
        <item x="92"/>
        <item x="284"/>
        <item x="60"/>
        <item x="171"/>
        <item x="197"/>
        <item x="69"/>
        <item x="52"/>
        <item x="144"/>
        <item x="243"/>
        <item x="80"/>
        <item x="75"/>
        <item x="79"/>
        <item x="247"/>
        <item x="236"/>
        <item x="147"/>
        <item x="145"/>
        <item x="108"/>
        <item x="28"/>
        <item x="291"/>
        <item x="124"/>
        <item x="58"/>
        <item x="211"/>
        <item x="104"/>
        <item x="209"/>
        <item x="103"/>
        <item x="151"/>
        <item x="232"/>
        <item x="269"/>
        <item x="221"/>
        <item x="188"/>
        <item x="83"/>
        <item x="226"/>
        <item x="280"/>
        <item x="32"/>
        <item x="277"/>
        <item x="156"/>
        <item x="122"/>
        <item x="76"/>
        <item x="138"/>
        <item x="172"/>
        <item x="160"/>
        <item x="234"/>
        <item x="244"/>
        <item x="167"/>
        <item x="96"/>
        <item x="194"/>
        <item x="195"/>
        <item x="196"/>
        <item x="182"/>
        <item x="203"/>
        <item x="294"/>
        <item x="208"/>
        <item x="287"/>
        <item x="109"/>
        <item x="49"/>
        <item x="170"/>
        <item x="65"/>
        <item x="30"/>
        <item x="50"/>
        <item x="142"/>
        <item x="238"/>
        <item x="215"/>
        <item x="90"/>
        <item x="242"/>
        <item x="168"/>
        <item x="241"/>
        <item x="299"/>
        <item x="66"/>
        <item x="175"/>
        <item x="94"/>
        <item x="279"/>
        <item x="275"/>
        <item x="115"/>
        <item x="120"/>
        <item x="177"/>
        <item x="74"/>
        <item x="114"/>
        <item x="116"/>
        <item x="259"/>
        <item x="118"/>
        <item x="139"/>
        <item x="91"/>
        <item x="25"/>
        <item x="97"/>
        <item x="7"/>
        <item x="206"/>
        <item x="42"/>
        <item x="102"/>
        <item x="18"/>
        <item x="136"/>
        <item x="261"/>
        <item x="88"/>
        <item x="200"/>
        <item x="13"/>
        <item x="78"/>
        <item x="245"/>
        <item x="72"/>
        <item x="292"/>
        <item x="260"/>
        <item x="117"/>
        <item x="198"/>
        <item x="149"/>
        <item x="70"/>
        <item x="39"/>
        <item x="190"/>
        <item x="3"/>
        <item x="21"/>
        <item x="125"/>
        <item x="163"/>
        <item x="248"/>
        <item x="281"/>
        <item x="61"/>
        <item x="8"/>
        <item x="285"/>
        <item x="43"/>
        <item x="57"/>
        <item x="11"/>
        <item x="95"/>
        <item x="41"/>
        <item x="5"/>
        <item x="44"/>
        <item x="40"/>
        <item x="230"/>
        <item x="157"/>
        <item x="205"/>
        <item x="82"/>
        <item x="297"/>
        <item x="155"/>
        <item x="228"/>
        <item x="293"/>
        <item x="135"/>
        <item x="272"/>
        <item x="184"/>
        <item x="84"/>
        <item x="201"/>
        <item x="180"/>
        <item x="273"/>
        <item x="266"/>
        <item x="298"/>
        <item x="6"/>
        <item x="68"/>
        <item x="59"/>
        <item x="87"/>
        <item x="48"/>
        <item x="12"/>
        <item x="27"/>
        <item x="219"/>
        <item x="173"/>
        <item x="233"/>
        <item x="119"/>
        <item x="29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dataField="1" showAll="0"/>
    <pivotField axis="axisPage" showAll="0">
      <items count="6">
        <item x="4"/>
        <item x="2"/>
        <item x="1"/>
        <item x="3"/>
        <item x="0"/>
        <item t="default"/>
      </items>
    </pivotField>
  </pivotFields>
  <rowFields count="1">
    <field x="0"/>
  </rowFields>
  <rowItems count="301">
    <i>
      <x v="35"/>
    </i>
    <i>
      <x v="55"/>
    </i>
    <i>
      <x v="268"/>
    </i>
    <i>
      <x v="270"/>
    </i>
    <i>
      <x v="107"/>
    </i>
    <i>
      <x v="267"/>
    </i>
    <i>
      <x v="269"/>
    </i>
    <i>
      <x v="249"/>
    </i>
    <i>
      <x v="254"/>
    </i>
    <i>
      <x v="97"/>
    </i>
    <i>
      <x v="182"/>
    </i>
    <i>
      <x v="235"/>
    </i>
    <i>
      <x v="191"/>
    </i>
    <i>
      <x v="266"/>
    </i>
    <i>
      <x v="275"/>
    </i>
    <i>
      <x v="148"/>
    </i>
    <i>
      <x v="153"/>
    </i>
    <i>
      <x v="149"/>
    </i>
    <i>
      <x v="134"/>
    </i>
    <i>
      <x v="31"/>
    </i>
    <i>
      <x v="252"/>
    </i>
    <i>
      <x v="12"/>
    </i>
    <i>
      <x v="75"/>
    </i>
    <i>
      <x v="247"/>
    </i>
    <i>
      <x v="281"/>
    </i>
    <i>
      <x v="67"/>
    </i>
    <i>
      <x v="1"/>
    </i>
    <i>
      <x v="9"/>
    </i>
    <i>
      <x v="259"/>
    </i>
    <i>
      <x v="90"/>
    </i>
    <i>
      <x v="87"/>
    </i>
    <i>
      <x/>
    </i>
    <i>
      <x v="277"/>
    </i>
    <i>
      <x v="15"/>
    </i>
    <i>
      <x v="150"/>
    </i>
    <i>
      <x v="57"/>
    </i>
    <i>
      <x v="135"/>
    </i>
    <i>
      <x v="104"/>
    </i>
    <i>
      <x v="33"/>
    </i>
    <i>
      <x v="76"/>
    </i>
    <i>
      <x v="65"/>
    </i>
    <i>
      <x v="250"/>
    </i>
    <i>
      <x v="284"/>
    </i>
    <i>
      <x v="258"/>
    </i>
    <i>
      <x v="58"/>
    </i>
    <i>
      <x v="220"/>
    </i>
    <i>
      <x v="102"/>
    </i>
    <i>
      <x v="283"/>
    </i>
    <i>
      <x v="30"/>
    </i>
    <i>
      <x v="265"/>
    </i>
    <i>
      <x v="145"/>
    </i>
    <i>
      <x v="206"/>
    </i>
    <i>
      <x v="131"/>
    </i>
    <i>
      <x v="239"/>
    </i>
    <i>
      <x v="282"/>
    </i>
    <i>
      <x v="61"/>
    </i>
    <i>
      <x v="122"/>
    </i>
    <i>
      <x v="280"/>
    </i>
    <i>
      <x v="199"/>
    </i>
    <i>
      <x v="105"/>
    </i>
    <i>
      <x v="8"/>
    </i>
    <i>
      <x v="261"/>
    </i>
    <i>
      <x v="202"/>
    </i>
    <i>
      <x v="142"/>
    </i>
    <i>
      <x v="170"/>
    </i>
    <i>
      <x v="188"/>
    </i>
    <i>
      <x v="82"/>
    </i>
    <i>
      <x v="285"/>
    </i>
    <i>
      <x v="81"/>
    </i>
    <i>
      <x v="200"/>
    </i>
    <i>
      <x v="129"/>
    </i>
    <i>
      <x v="180"/>
    </i>
    <i>
      <x v="257"/>
    </i>
    <i>
      <x v="237"/>
    </i>
    <i>
      <x v="120"/>
    </i>
    <i>
      <x v="4"/>
    </i>
    <i>
      <x v="50"/>
    </i>
    <i>
      <x v="166"/>
    </i>
    <i>
      <x v="210"/>
    </i>
    <i>
      <x v="110"/>
    </i>
    <i>
      <x v="184"/>
    </i>
    <i>
      <x v="52"/>
    </i>
    <i>
      <x v="234"/>
    </i>
    <i>
      <x v="70"/>
    </i>
    <i>
      <x v="158"/>
    </i>
    <i>
      <x v="289"/>
    </i>
    <i>
      <x v="73"/>
    </i>
    <i>
      <x v="271"/>
    </i>
    <i>
      <x v="14"/>
    </i>
    <i>
      <x v="203"/>
    </i>
    <i>
      <x v="151"/>
    </i>
    <i>
      <x v="103"/>
    </i>
    <i>
      <x v="253"/>
    </i>
    <i>
      <x v="71"/>
    </i>
    <i>
      <x v="218"/>
    </i>
    <i>
      <x v="106"/>
    </i>
    <i>
      <x v="169"/>
    </i>
    <i>
      <x v="163"/>
    </i>
    <i>
      <x v="115"/>
    </i>
    <i>
      <x v="29"/>
    </i>
    <i>
      <x v="45"/>
    </i>
    <i>
      <x v="123"/>
    </i>
    <i>
      <x v="41"/>
    </i>
    <i>
      <x v="292"/>
    </i>
    <i>
      <x v="244"/>
    </i>
    <i>
      <x v="5"/>
    </i>
    <i>
      <x v="20"/>
    </i>
    <i>
      <x v="209"/>
    </i>
    <i>
      <x v="139"/>
    </i>
    <i>
      <x v="204"/>
    </i>
    <i>
      <x v="260"/>
    </i>
    <i>
      <x v="217"/>
    </i>
    <i>
      <x v="212"/>
    </i>
    <i>
      <x v="238"/>
    </i>
    <i>
      <x v="193"/>
    </i>
    <i>
      <x v="112"/>
    </i>
    <i>
      <x v="3"/>
    </i>
    <i>
      <x v="196"/>
    </i>
    <i>
      <x v="208"/>
    </i>
    <i>
      <x v="119"/>
    </i>
    <i>
      <x v="37"/>
    </i>
    <i>
      <x v="137"/>
    </i>
    <i>
      <x v="201"/>
    </i>
    <i>
      <x v="288"/>
    </i>
    <i>
      <x v="109"/>
    </i>
    <i>
      <x v="47"/>
    </i>
    <i>
      <x v="98"/>
    </i>
    <i>
      <x v="114"/>
    </i>
    <i>
      <x v="141"/>
    </i>
    <i>
      <x v="274"/>
    </i>
    <i>
      <x v="34"/>
    </i>
    <i>
      <x v="27"/>
    </i>
    <i>
      <x v="286"/>
    </i>
    <i>
      <x v="60"/>
    </i>
    <i>
      <x v="111"/>
    </i>
    <i>
      <x v="198"/>
    </i>
    <i>
      <x v="195"/>
    </i>
    <i>
      <x v="133"/>
    </i>
    <i>
      <x v="222"/>
    </i>
    <i>
      <x v="42"/>
    </i>
    <i>
      <x v="49"/>
    </i>
    <i>
      <x v="144"/>
    </i>
    <i>
      <x v="294"/>
    </i>
    <i>
      <x v="179"/>
    </i>
    <i>
      <x v="66"/>
    </i>
    <i>
      <x v="86"/>
    </i>
    <i>
      <x v="77"/>
    </i>
    <i>
      <x v="162"/>
    </i>
    <i>
      <x v="7"/>
    </i>
    <i>
      <x v="241"/>
    </i>
    <i>
      <x v="177"/>
    </i>
    <i>
      <x v="88"/>
    </i>
    <i>
      <x v="117"/>
    </i>
    <i>
      <x v="197"/>
    </i>
    <i>
      <x v="59"/>
    </i>
    <i>
      <x v="189"/>
    </i>
    <i>
      <x v="85"/>
    </i>
    <i>
      <x v="155"/>
    </i>
    <i>
      <x v="176"/>
    </i>
    <i>
      <x v="225"/>
    </i>
    <i>
      <x v="16"/>
    </i>
    <i>
      <x v="160"/>
    </i>
    <i>
      <x v="10"/>
    </i>
    <i>
      <x v="96"/>
    </i>
    <i>
      <x v="256"/>
    </i>
    <i>
      <x v="264"/>
    </i>
    <i>
      <x v="243"/>
    </i>
    <i>
      <x v="221"/>
    </i>
    <i>
      <x v="187"/>
    </i>
    <i>
      <x v="118"/>
    </i>
    <i>
      <x v="245"/>
    </i>
    <i>
      <x v="192"/>
    </i>
    <i>
      <x v="207"/>
    </i>
    <i>
      <x v="226"/>
    </i>
    <i>
      <x v="138"/>
    </i>
    <i>
      <x v="19"/>
    </i>
    <i>
      <x v="94"/>
    </i>
    <i>
      <x v="95"/>
    </i>
    <i>
      <x v="116"/>
    </i>
    <i>
      <x v="89"/>
    </i>
    <i>
      <x v="156"/>
    </i>
    <i>
      <x v="295"/>
    </i>
    <i>
      <x v="143"/>
    </i>
    <i>
      <x v="167"/>
    </i>
    <i>
      <x v="297"/>
    </i>
    <i>
      <x v="173"/>
    </i>
    <i>
      <x v="171"/>
    </i>
    <i>
      <x v="251"/>
    </i>
    <i>
      <x v="227"/>
    </i>
    <i>
      <x v="164"/>
    </i>
    <i>
      <x v="157"/>
    </i>
    <i>
      <x v="240"/>
    </i>
    <i>
      <x v="80"/>
    </i>
    <i>
      <x v="43"/>
    </i>
    <i>
      <x v="40"/>
    </i>
    <i>
      <x v="11"/>
    </i>
    <i>
      <x v="54"/>
    </i>
    <i>
      <x v="51"/>
    </i>
    <i>
      <x v="23"/>
    </i>
    <i>
      <x v="165"/>
    </i>
    <i>
      <x v="174"/>
    </i>
    <i>
      <x v="161"/>
    </i>
    <i>
      <x v="211"/>
    </i>
    <i>
      <x v="185"/>
    </i>
    <i>
      <x v="233"/>
    </i>
    <i>
      <x v="273"/>
    </i>
    <i>
      <x v="125"/>
    </i>
    <i>
      <x v="18"/>
    </i>
    <i>
      <x v="48"/>
    </i>
    <i>
      <x v="26"/>
    </i>
    <i>
      <x v="132"/>
    </i>
    <i>
      <x v="124"/>
    </i>
    <i>
      <x v="140"/>
    </i>
    <i>
      <x v="290"/>
    </i>
    <i>
      <x v="36"/>
    </i>
    <i>
      <x v="38"/>
    </i>
    <i>
      <x v="93"/>
    </i>
    <i>
      <x v="22"/>
    </i>
    <i>
      <x v="183"/>
    </i>
    <i>
      <x v="229"/>
    </i>
    <i>
      <x v="276"/>
    </i>
    <i>
      <x v="272"/>
    </i>
    <i>
      <x v="44"/>
    </i>
    <i>
      <x v="223"/>
    </i>
    <i>
      <x v="17"/>
    </i>
    <i>
      <x v="46"/>
    </i>
    <i>
      <x v="298"/>
    </i>
    <i>
      <x v="219"/>
    </i>
    <i>
      <x v="181"/>
    </i>
    <i>
      <x v="255"/>
    </i>
    <i>
      <x v="25"/>
    </i>
    <i>
      <x v="53"/>
    </i>
    <i>
      <x v="72"/>
    </i>
    <i>
      <x v="190"/>
    </i>
    <i>
      <x v="113"/>
    </i>
    <i>
      <x v="68"/>
    </i>
    <i>
      <x v="215"/>
    </i>
    <i>
      <x v="128"/>
    </i>
    <i>
      <x v="152"/>
    </i>
    <i>
      <x v="279"/>
    </i>
    <i>
      <x v="230"/>
    </i>
    <i>
      <x v="228"/>
    </i>
    <i>
      <x v="24"/>
    </i>
    <i>
      <x v="216"/>
    </i>
    <i>
      <x v="21"/>
    </i>
    <i>
      <x v="262"/>
    </i>
    <i>
      <x v="296"/>
    </i>
    <i>
      <x v="74"/>
    </i>
    <i>
      <x v="83"/>
    </i>
    <i>
      <x v="242"/>
    </i>
    <i>
      <x v="278"/>
    </i>
    <i>
      <x v="108"/>
    </i>
    <i>
      <x v="130"/>
    </i>
    <i>
      <x v="92"/>
    </i>
    <i>
      <x v="147"/>
    </i>
    <i>
      <x v="84"/>
    </i>
    <i>
      <x v="248"/>
    </i>
    <i>
      <x v="69"/>
    </i>
    <i>
      <x v="56"/>
    </i>
    <i>
      <x v="121"/>
    </i>
    <i>
      <x v="101"/>
    </i>
    <i>
      <x v="146"/>
    </i>
    <i>
      <x v="99"/>
    </i>
    <i>
      <x v="175"/>
    </i>
    <i>
      <x v="293"/>
    </i>
    <i>
      <x v="299"/>
    </i>
    <i>
      <x v="13"/>
    </i>
    <i>
      <x v="236"/>
    </i>
    <i>
      <x v="6"/>
    </i>
    <i>
      <x v="62"/>
    </i>
    <i>
      <x v="213"/>
    </i>
    <i>
      <x v="224"/>
    </i>
    <i>
      <x v="64"/>
    </i>
    <i>
      <x v="136"/>
    </i>
    <i>
      <x v="100"/>
    </i>
    <i>
      <x v="172"/>
    </i>
    <i>
      <x v="2"/>
    </i>
    <i>
      <x v="178"/>
    </i>
    <i>
      <x v="263"/>
    </i>
    <i>
      <x v="168"/>
    </i>
    <i>
      <x v="127"/>
    </i>
    <i>
      <x v="32"/>
    </i>
    <i>
      <x v="39"/>
    </i>
    <i>
      <x v="194"/>
    </i>
    <i>
      <x v="214"/>
    </i>
    <i>
      <x v="154"/>
    </i>
    <i>
      <x v="186"/>
    </i>
    <i>
      <x v="63"/>
    </i>
    <i>
      <x v="159"/>
    </i>
    <i>
      <x v="79"/>
    </i>
    <i>
      <x v="126"/>
    </i>
    <i>
      <x v="28"/>
    </i>
    <i>
      <x v="78"/>
    </i>
    <i>
      <x v="91"/>
    </i>
    <i>
      <x v="231"/>
    </i>
    <i>
      <x v="246"/>
    </i>
    <i>
      <x v="291"/>
    </i>
    <i>
      <x v="205"/>
    </i>
    <i>
      <x v="287"/>
    </i>
    <i>
      <x v="232"/>
    </i>
    <i t="grand">
      <x/>
    </i>
  </rowItems>
  <colItems count="1">
    <i/>
  </colItems>
  <pageFields count="1">
    <pageField fld="10" hier="-1"/>
  </pageFields>
  <dataFields count="1">
    <dataField name="Average of Average Downfall %" fld="9" subtotal="average" baseField="0" baseItem="5"/>
  </dataFields>
  <formats count="11">
    <format dxfId="367">
      <pivotArea type="all" dataOnly="0" outline="0" fieldPosition="0"/>
    </format>
    <format dxfId="366">
      <pivotArea outline="0" collapsedLevelsAreSubtotals="1" fieldPosition="0"/>
    </format>
    <format dxfId="365">
      <pivotArea field="0" type="button" dataOnly="0" labelOnly="1" outline="0" axis="axisRow" fieldPosition="0"/>
    </format>
    <format dxfId="364">
      <pivotArea dataOnly="0" labelOnly="1" fieldPosition="0">
        <references count="1">
          <reference field="0" count="50">
            <x v="0"/>
            <x v="1"/>
            <x v="9"/>
            <x v="12"/>
            <x v="15"/>
            <x v="30"/>
            <x v="31"/>
            <x v="33"/>
            <x v="35"/>
            <x v="55"/>
            <x v="57"/>
            <x v="58"/>
            <x v="65"/>
            <x v="67"/>
            <x v="75"/>
            <x v="76"/>
            <x v="87"/>
            <x v="90"/>
            <x v="97"/>
            <x v="102"/>
            <x v="104"/>
            <x v="107"/>
            <x v="134"/>
            <x v="135"/>
            <x v="148"/>
            <x v="149"/>
            <x v="150"/>
            <x v="153"/>
            <x v="182"/>
            <x v="191"/>
            <x v="220"/>
            <x v="235"/>
            <x v="247"/>
            <x v="249"/>
            <x v="250"/>
            <x v="252"/>
            <x v="254"/>
            <x v="258"/>
            <x v="259"/>
            <x v="265"/>
            <x v="266"/>
            <x v="267"/>
            <x v="268"/>
            <x v="269"/>
            <x v="270"/>
            <x v="275"/>
            <x v="277"/>
            <x v="281"/>
            <x v="283"/>
            <x v="284"/>
          </reference>
        </references>
      </pivotArea>
    </format>
    <format dxfId="363">
      <pivotArea dataOnly="0" labelOnly="1" fieldPosition="0">
        <references count="1">
          <reference field="0" count="50">
            <x v="4"/>
            <x v="8"/>
            <x v="14"/>
            <x v="29"/>
            <x v="50"/>
            <x v="52"/>
            <x v="61"/>
            <x v="70"/>
            <x v="71"/>
            <x v="73"/>
            <x v="81"/>
            <x v="82"/>
            <x v="103"/>
            <x v="105"/>
            <x v="106"/>
            <x v="110"/>
            <x v="115"/>
            <x v="120"/>
            <x v="122"/>
            <x v="129"/>
            <x v="131"/>
            <x v="142"/>
            <x v="145"/>
            <x v="151"/>
            <x v="158"/>
            <x v="163"/>
            <x v="166"/>
            <x v="169"/>
            <x v="170"/>
            <x v="180"/>
            <x v="184"/>
            <x v="188"/>
            <x v="199"/>
            <x v="200"/>
            <x v="202"/>
            <x v="203"/>
            <x v="206"/>
            <x v="210"/>
            <x v="218"/>
            <x v="234"/>
            <x v="237"/>
            <x v="239"/>
            <x v="253"/>
            <x v="257"/>
            <x v="261"/>
            <x v="271"/>
            <x v="280"/>
            <x v="282"/>
            <x v="285"/>
            <x v="289"/>
          </reference>
        </references>
      </pivotArea>
    </format>
    <format dxfId="362">
      <pivotArea dataOnly="0" labelOnly="1" fieldPosition="0">
        <references count="1">
          <reference field="0" count="50">
            <x v="3"/>
            <x v="5"/>
            <x v="7"/>
            <x v="20"/>
            <x v="27"/>
            <x v="34"/>
            <x v="37"/>
            <x v="41"/>
            <x v="42"/>
            <x v="45"/>
            <x v="47"/>
            <x v="49"/>
            <x v="60"/>
            <x v="66"/>
            <x v="77"/>
            <x v="86"/>
            <x v="98"/>
            <x v="109"/>
            <x v="111"/>
            <x v="112"/>
            <x v="114"/>
            <x v="119"/>
            <x v="123"/>
            <x v="133"/>
            <x v="137"/>
            <x v="139"/>
            <x v="141"/>
            <x v="144"/>
            <x v="162"/>
            <x v="179"/>
            <x v="193"/>
            <x v="195"/>
            <x v="196"/>
            <x v="198"/>
            <x v="201"/>
            <x v="204"/>
            <x v="208"/>
            <x v="209"/>
            <x v="212"/>
            <x v="217"/>
            <x v="222"/>
            <x v="238"/>
            <x v="241"/>
            <x v="244"/>
            <x v="260"/>
            <x v="274"/>
            <x v="286"/>
            <x v="288"/>
            <x v="292"/>
            <x v="294"/>
          </reference>
        </references>
      </pivotArea>
    </format>
    <format dxfId="361">
      <pivotArea dataOnly="0" labelOnly="1" fieldPosition="0">
        <references count="1">
          <reference field="0" count="50">
            <x v="10"/>
            <x v="11"/>
            <x v="16"/>
            <x v="19"/>
            <x v="23"/>
            <x v="40"/>
            <x v="43"/>
            <x v="51"/>
            <x v="54"/>
            <x v="59"/>
            <x v="80"/>
            <x v="85"/>
            <x v="88"/>
            <x v="89"/>
            <x v="94"/>
            <x v="95"/>
            <x v="96"/>
            <x v="116"/>
            <x v="117"/>
            <x v="118"/>
            <x v="138"/>
            <x v="143"/>
            <x v="155"/>
            <x v="156"/>
            <x v="157"/>
            <x v="160"/>
            <x v="164"/>
            <x v="165"/>
            <x v="167"/>
            <x v="171"/>
            <x v="173"/>
            <x v="176"/>
            <x v="177"/>
            <x v="187"/>
            <x v="189"/>
            <x v="192"/>
            <x v="197"/>
            <x v="207"/>
            <x v="221"/>
            <x v="225"/>
            <x v="226"/>
            <x v="227"/>
            <x v="240"/>
            <x v="243"/>
            <x v="245"/>
            <x v="251"/>
            <x v="256"/>
            <x v="264"/>
            <x v="295"/>
            <x v="297"/>
          </reference>
        </references>
      </pivotArea>
    </format>
    <format dxfId="360">
      <pivotArea dataOnly="0" labelOnly="1" fieldPosition="0">
        <references count="1">
          <reference field="0" count="50">
            <x v="17"/>
            <x v="18"/>
            <x v="21"/>
            <x v="22"/>
            <x v="24"/>
            <x v="25"/>
            <x v="26"/>
            <x v="36"/>
            <x v="38"/>
            <x v="44"/>
            <x v="46"/>
            <x v="48"/>
            <x v="53"/>
            <x v="68"/>
            <x v="72"/>
            <x v="74"/>
            <x v="83"/>
            <x v="93"/>
            <x v="113"/>
            <x v="124"/>
            <x v="125"/>
            <x v="128"/>
            <x v="132"/>
            <x v="140"/>
            <x v="152"/>
            <x v="161"/>
            <x v="174"/>
            <x v="181"/>
            <x v="183"/>
            <x v="185"/>
            <x v="190"/>
            <x v="211"/>
            <x v="215"/>
            <x v="216"/>
            <x v="219"/>
            <x v="223"/>
            <x v="228"/>
            <x v="229"/>
            <x v="230"/>
            <x v="233"/>
            <x v="242"/>
            <x v="255"/>
            <x v="262"/>
            <x v="272"/>
            <x v="273"/>
            <x v="276"/>
            <x v="279"/>
            <x v="290"/>
            <x v="296"/>
            <x v="298"/>
          </reference>
        </references>
      </pivotArea>
    </format>
    <format dxfId="359">
      <pivotArea dataOnly="0" labelOnly="1" fieldPosition="0">
        <references count="1">
          <reference field="0" count="50">
            <x v="2"/>
            <x v="6"/>
            <x v="13"/>
            <x v="28"/>
            <x v="32"/>
            <x v="39"/>
            <x v="56"/>
            <x v="62"/>
            <x v="63"/>
            <x v="64"/>
            <x v="69"/>
            <x v="78"/>
            <x v="79"/>
            <x v="84"/>
            <x v="91"/>
            <x v="92"/>
            <x v="99"/>
            <x v="100"/>
            <x v="101"/>
            <x v="108"/>
            <x v="121"/>
            <x v="126"/>
            <x v="127"/>
            <x v="130"/>
            <x v="136"/>
            <x v="146"/>
            <x v="147"/>
            <x v="154"/>
            <x v="159"/>
            <x v="168"/>
            <x v="172"/>
            <x v="175"/>
            <x v="178"/>
            <x v="186"/>
            <x v="194"/>
            <x v="205"/>
            <x v="213"/>
            <x v="214"/>
            <x v="224"/>
            <x v="231"/>
            <x v="232"/>
            <x v="236"/>
            <x v="246"/>
            <x v="248"/>
            <x v="263"/>
            <x v="278"/>
            <x v="287"/>
            <x v="291"/>
            <x v="293"/>
            <x v="299"/>
          </reference>
        </references>
      </pivotArea>
    </format>
    <format dxfId="358">
      <pivotArea dataOnly="0" labelOnly="1" grandRow="1" outline="0" fieldPosition="0"/>
    </format>
    <format dxfId="35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0CCA45F-DBB7-4D85-B9B1-6CEA2D444105}" name="PivotTable1" cacheId="3"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86" rowHeaderCaption="Coin Names">
  <location ref="A3:B14" firstHeaderRow="1" firstDataRow="1" firstDataCol="1" rowPageCount="1" colPageCount="1"/>
  <pivotFields count="7">
    <pivotField axis="axisRow" showAll="0" measureFilter="1">
      <items count="156">
        <item x="27"/>
        <item x="13"/>
        <item m="1" x="114"/>
        <item m="1" x="132"/>
        <item x="6"/>
        <item x="84"/>
        <item m="1" x="152"/>
        <item m="1" x="110"/>
        <item x="83"/>
        <item m="1" x="120"/>
        <item m="1" x="111"/>
        <item m="1" x="121"/>
        <item m="1" x="99"/>
        <item m="1" x="109"/>
        <item x="41"/>
        <item x="5"/>
        <item m="1" x="100"/>
        <item x="11"/>
        <item m="1" x="149"/>
        <item m="1" x="106"/>
        <item m="1" x="137"/>
        <item x="8"/>
        <item x="20"/>
        <item x="3"/>
        <item x="39"/>
        <item m="1" x="119"/>
        <item m="1" x="142"/>
        <item m="1" x="102"/>
        <item m="1" x="144"/>
        <item m="1" x="138"/>
        <item m="1" x="134"/>
        <item x="12"/>
        <item m="1" x="136"/>
        <item x="17"/>
        <item x="40"/>
        <item x="7"/>
        <item m="1" x="150"/>
        <item x="30"/>
        <item m="1" x="108"/>
        <item x="26"/>
        <item m="1" x="131"/>
        <item m="1" x="116"/>
        <item m="1" x="124"/>
        <item m="1" x="107"/>
        <item x="32"/>
        <item m="1" x="151"/>
        <item m="1" x="117"/>
        <item m="1" x="126"/>
        <item x="45"/>
        <item m="1" x="143"/>
        <item m="1" x="133"/>
        <item m="1" x="113"/>
        <item x="31"/>
        <item m="1" x="129"/>
        <item m="1" x="105"/>
        <item x="36"/>
        <item m="1" x="145"/>
        <item x="24"/>
        <item m="1" x="135"/>
        <item x="23"/>
        <item x="9"/>
        <item x="52"/>
        <item x="33"/>
        <item m="1" x="128"/>
        <item x="29"/>
        <item x="81"/>
        <item m="1" x="154"/>
        <item x="38"/>
        <item x="53"/>
        <item m="1" x="141"/>
        <item m="1" x="130"/>
        <item m="1" x="103"/>
        <item x="34"/>
        <item m="1" x="123"/>
        <item m="1" x="153"/>
        <item x="2"/>
        <item x="22"/>
        <item m="1" x="139"/>
        <item x="28"/>
        <item x="10"/>
        <item m="1" x="125"/>
        <item m="1" x="118"/>
        <item x="15"/>
        <item m="1" x="112"/>
        <item x="0"/>
        <item m="1" x="101"/>
        <item x="35"/>
        <item m="1" x="140"/>
        <item x="4"/>
        <item m="1" x="122"/>
        <item x="19"/>
        <item m="1" x="104"/>
        <item x="1"/>
        <item m="1" x="115"/>
        <item x="37"/>
        <item m="1" x="127"/>
        <item m="1" x="148"/>
        <item m="1" x="147"/>
        <item m="1" x="146"/>
        <item x="14"/>
        <item x="16"/>
        <item x="18"/>
        <item x="21"/>
        <item x="25"/>
        <item x="42"/>
        <item x="43"/>
        <item x="44"/>
        <item x="46"/>
        <item x="47"/>
        <item x="48"/>
        <item x="49"/>
        <item x="50"/>
        <item x="51"/>
        <item x="54"/>
        <item x="55"/>
        <item x="56"/>
        <item x="57"/>
        <item x="58"/>
        <item x="59"/>
        <item x="60"/>
        <item x="61"/>
        <item x="62"/>
        <item x="63"/>
        <item x="64"/>
        <item x="65"/>
        <item x="66"/>
        <item x="67"/>
        <item x="68"/>
        <item x="69"/>
        <item x="70"/>
        <item x="71"/>
        <item x="72"/>
        <item x="73"/>
        <item x="74"/>
        <item x="75"/>
        <item x="76"/>
        <item x="77"/>
        <item x="78"/>
        <item x="79"/>
        <item x="80"/>
        <item x="82"/>
        <item x="85"/>
        <item x="86"/>
        <item x="87"/>
        <item x="88"/>
        <item x="89"/>
        <item x="90"/>
        <item x="91"/>
        <item x="92"/>
        <item x="93"/>
        <item x="94"/>
        <item x="95"/>
        <item x="96"/>
        <item x="97"/>
        <item x="98"/>
        <item t="default"/>
      </items>
    </pivotField>
    <pivotField showAll="0"/>
    <pivotField showAll="0"/>
    <pivotField showAll="0"/>
    <pivotField showAll="0"/>
    <pivotField dataField="1" showAll="0"/>
    <pivotField axis="axisPage" showAll="0">
      <items count="3">
        <item x="1"/>
        <item x="0"/>
        <item t="default"/>
      </items>
    </pivotField>
  </pivotFields>
  <rowFields count="1">
    <field x="0"/>
  </rowFields>
  <rowItems count="11">
    <i>
      <x v="1"/>
    </i>
    <i>
      <x v="4"/>
    </i>
    <i>
      <x v="31"/>
    </i>
    <i>
      <x v="57"/>
    </i>
    <i>
      <x v="75"/>
    </i>
    <i>
      <x v="79"/>
    </i>
    <i>
      <x v="88"/>
    </i>
    <i>
      <x v="92"/>
    </i>
    <i>
      <x v="102"/>
    </i>
    <i>
      <x v="116"/>
    </i>
    <i t="grand">
      <x/>
    </i>
  </rowItems>
  <colItems count="1">
    <i/>
  </colItems>
  <pageFields count="1">
    <pageField fld="6" item="1" hier="-1"/>
  </pageFields>
  <dataFields count="1">
    <dataField name="Sum of Volume (24h) USD" fld="5" baseField="0" baseItem="249"/>
  </dataFields>
  <formats count="7">
    <format dxfId="0">
      <pivotArea type="all" dataOnly="0" outline="0" fieldPosition="0"/>
    </format>
    <format dxfId="1">
      <pivotArea outline="0" collapsedLevelsAreSubtotals="1" fieldPosition="0"/>
    </format>
    <format dxfId="2">
      <pivotArea field="0" type="button" dataOnly="0" labelOnly="1" outline="0" axis="axisRow" fieldPosition="0"/>
    </format>
    <format dxfId="3">
      <pivotArea dataOnly="0" labelOnly="1" fieldPosition="0">
        <references count="1">
          <reference field="0" count="10">
            <x v="15"/>
            <x v="19"/>
            <x v="43"/>
            <x v="75"/>
            <x v="79"/>
            <x v="82"/>
            <x v="85"/>
            <x v="88"/>
            <x v="92"/>
            <x v="93"/>
          </reference>
        </references>
      </pivotArea>
    </format>
    <format dxfId="4">
      <pivotArea dataOnly="0" labelOnly="1" grandRow="1" outline="0" fieldPosition="0"/>
    </format>
    <format dxfId="5">
      <pivotArea dataOnly="0" labelOnly="1" outline="0" axis="axisValues" fieldPosition="0"/>
    </format>
    <format dxfId="6">
      <pivotArea outline="0" fieldPosition="0">
        <references count="1">
          <reference field="4294967294" count="1">
            <x v="0"/>
          </reference>
        </references>
      </pivotArea>
    </format>
  </formats>
  <chartFormats count="2">
    <chartFormat chart="21" format="0" series="1">
      <pivotArea type="data" outline="0" fieldPosition="0">
        <references count="1">
          <reference field="4294967294" count="1" selected="0">
            <x v="0"/>
          </reference>
        </references>
      </pivotArea>
    </chartFormat>
    <chartFormat chart="8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600DA08-DD22-48F6-BD9A-23CE42C2F32B}"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E18:G30" firstHeaderRow="1" firstDataRow="2" firstDataCol="1"/>
  <pivotFields count="7">
    <pivotField axis="axisRow" showAll="0" measureFilter="1">
      <items count="511">
        <item m="1" x="441"/>
        <item x="205"/>
        <item x="207"/>
        <item m="1" x="376"/>
        <item x="121"/>
        <item m="1" x="367"/>
        <item m="1" x="470"/>
        <item m="1" x="399"/>
        <item m="1" x="346"/>
        <item m="1" x="414"/>
        <item x="159"/>
        <item x="238"/>
        <item x="182"/>
        <item x="164"/>
        <item m="1" x="467"/>
        <item m="1" x="382"/>
        <item m="1" x="347"/>
        <item m="1" x="464"/>
        <item m="1" x="392"/>
        <item m="1" x="439"/>
        <item m="1" x="408"/>
        <item x="145"/>
        <item m="1" x="348"/>
        <item m="1" x="419"/>
        <item x="230"/>
        <item m="1" x="327"/>
        <item m="1" x="506"/>
        <item m="1" x="460"/>
        <item x="272"/>
        <item m="1" x="358"/>
        <item x="37"/>
        <item m="1" x="362"/>
        <item m="1" x="315"/>
        <item m="1" x="458"/>
        <item x="1"/>
        <item m="1" x="429"/>
        <item m="1" x="304"/>
        <item m="1" x="509"/>
        <item m="1" x="424"/>
        <item x="19"/>
        <item m="1" x="322"/>
        <item m="1" x="442"/>
        <item x="199"/>
        <item x="4"/>
        <item m="1" x="473"/>
        <item m="1" x="357"/>
        <item m="1" x="422"/>
        <item m="1" x="443"/>
        <item x="162"/>
        <item m="1" x="340"/>
        <item x="35"/>
        <item m="1" x="380"/>
        <item m="1" x="301"/>
        <item m="1" x="493"/>
        <item m="1" x="468"/>
        <item m="1" x="369"/>
        <item m="1" x="488"/>
        <item m="1" x="448"/>
        <item m="1" x="496"/>
        <item x="0"/>
        <item m="1" x="312"/>
        <item m="1" x="474"/>
        <item m="1" x="361"/>
        <item m="1" x="421"/>
        <item x="15"/>
        <item m="1" x="318"/>
        <item m="1" x="491"/>
        <item m="1" x="366"/>
        <item m="1" x="459"/>
        <item m="1" x="425"/>
        <item m="1" x="389"/>
        <item m="1" x="325"/>
        <item x="213"/>
        <item m="1" x="449"/>
        <item x="10"/>
        <item x="28"/>
        <item m="1" x="411"/>
        <item m="1" x="431"/>
        <item m="1" x="400"/>
        <item m="1" x="446"/>
        <item m="1" x="339"/>
        <item m="1" x="413"/>
        <item x="22"/>
        <item x="2"/>
        <item m="1" x="352"/>
        <item m="1" x="394"/>
        <item m="1" x="323"/>
        <item m="1" x="374"/>
        <item x="34"/>
        <item m="1" x="383"/>
        <item m="1" x="303"/>
        <item m="1" x="330"/>
        <item m="1" x="483"/>
        <item m="1" x="395"/>
        <item m="1" x="416"/>
        <item m="1" x="447"/>
        <item m="1" x="341"/>
        <item x="53"/>
        <item x="38"/>
        <item m="1" x="353"/>
        <item x="81"/>
        <item x="29"/>
        <item m="1" x="477"/>
        <item m="1" x="452"/>
        <item m="1" x="381"/>
        <item m="1" x="471"/>
        <item m="1" x="484"/>
        <item m="1" x="406"/>
        <item m="1" x="328"/>
        <item x="33"/>
        <item x="52"/>
        <item x="9"/>
        <item m="1" x="507"/>
        <item m="1" x="420"/>
        <item x="23"/>
        <item m="1" x="409"/>
        <item m="1" x="335"/>
        <item m="1" x="450"/>
        <item m="1" x="377"/>
        <item m="1" x="390"/>
        <item m="1" x="404"/>
        <item m="1" x="444"/>
        <item x="94"/>
        <item m="1" x="364"/>
        <item x="266"/>
        <item m="1" x="472"/>
        <item x="24"/>
        <item m="1" x="501"/>
        <item m="1" x="345"/>
        <item m="1" x="466"/>
        <item x="36"/>
        <item m="1" x="305"/>
        <item m="1" x="373"/>
        <item m="1" x="437"/>
        <item m="1" x="478"/>
        <item x="192"/>
        <item m="1" x="354"/>
        <item m="1" x="428"/>
        <item m="1" x="329"/>
        <item m="1" x="465"/>
        <item x="31"/>
        <item m="1" x="296"/>
        <item m="1" x="481"/>
        <item m="1" x="445"/>
        <item m="1" x="313"/>
        <item m="1" x="333"/>
        <item x="267"/>
        <item m="1" x="504"/>
        <item m="1" x="427"/>
        <item m="1" x="387"/>
        <item m="1" x="498"/>
        <item m="1" x="438"/>
        <item m="1" x="359"/>
        <item m="1" x="343"/>
        <item m="1" x="365"/>
        <item x="45"/>
        <item m="1" x="385"/>
        <item m="1" x="482"/>
        <item m="1" x="434"/>
        <item m="1" x="480"/>
        <item m="1" x="326"/>
        <item m="1" x="317"/>
        <item x="99"/>
        <item m="1" x="417"/>
        <item m="1" x="505"/>
        <item m="1" x="401"/>
        <item m="1" x="454"/>
        <item x="190"/>
        <item x="247"/>
        <item m="1" x="418"/>
        <item m="1" x="393"/>
        <item x="32"/>
        <item m="1" x="379"/>
        <item m="1" x="307"/>
        <item m="1" x="423"/>
        <item m="1" x="324"/>
        <item m="1" x="412"/>
        <item m="1" x="415"/>
        <item m="1" x="453"/>
        <item m="1" x="451"/>
        <item m="1" x="378"/>
        <item m="1" x="316"/>
        <item m="1" x="368"/>
        <item m="1" x="384"/>
        <item m="1" x="440"/>
        <item m="1" x="455"/>
        <item m="1" x="331"/>
        <item m="1" x="502"/>
        <item x="204"/>
        <item m="1" x="508"/>
        <item x="26"/>
        <item m="1" x="308"/>
        <item m="1" x="410"/>
        <item m="1" x="479"/>
        <item x="30"/>
        <item x="228"/>
        <item m="1" x="494"/>
        <item m="1" x="407"/>
        <item m="1" x="461"/>
        <item m="1" x="355"/>
        <item m="1" x="397"/>
        <item m="1" x="469"/>
        <item x="241"/>
        <item x="202"/>
        <item m="1" x="403"/>
        <item m="1" x="503"/>
        <item m="1" x="350"/>
        <item m="1" x="363"/>
        <item x="111"/>
        <item m="1" x="462"/>
        <item m="1" x="372"/>
        <item m="1" x="386"/>
        <item x="7"/>
        <item m="1" x="487"/>
        <item x="40"/>
        <item x="189"/>
        <item m="1" x="370"/>
        <item m="1" x="426"/>
        <item x="17"/>
        <item m="1" x="336"/>
        <item m="1" x="405"/>
        <item m="1" x="388"/>
        <item x="12"/>
        <item x="249"/>
        <item m="1" x="334"/>
        <item m="1" x="495"/>
        <item m="1" x="338"/>
        <item m="1" x="497"/>
        <item m="1" x="344"/>
        <item m="1" x="433"/>
        <item m="1" x="302"/>
        <item m="1" x="499"/>
        <item m="1" x="342"/>
        <item m="1" x="398"/>
        <item m="1" x="360"/>
        <item m="1" x="402"/>
        <item m="1" x="319"/>
        <item m="1" x="391"/>
        <item x="39"/>
        <item x="3"/>
        <item x="20"/>
        <item m="1" x="396"/>
        <item x="8"/>
        <item m="1" x="457"/>
        <item m="1" x="337"/>
        <item m="1" x="306"/>
        <item m="1" x="349"/>
        <item m="1" x="492"/>
        <item x="11"/>
        <item m="1" x="284"/>
        <item x="5"/>
        <item x="41"/>
        <item m="1" x="309"/>
        <item m="1" x="371"/>
        <item m="1" x="283"/>
        <item m="1" x="430"/>
        <item m="1" x="476"/>
        <item m="1" x="475"/>
        <item m="1" x="456"/>
        <item m="1" x="321"/>
        <item m="1" x="311"/>
        <item m="1" x="485"/>
        <item m="1" x="500"/>
        <item m="1" x="320"/>
        <item x="83"/>
        <item m="1" x="489"/>
        <item x="275"/>
        <item m="1" x="463"/>
        <item m="1" x="310"/>
        <item x="117"/>
        <item m="1" x="351"/>
        <item x="84"/>
        <item m="1" x="432"/>
        <item m="1" x="490"/>
        <item x="6"/>
        <item m="1" x="332"/>
        <item m="1" x="436"/>
        <item m="1" x="356"/>
        <item m="1" x="375"/>
        <item m="1" x="314"/>
        <item x="13"/>
        <item x="27"/>
        <item m="1" x="435"/>
        <item m="1" x="486"/>
        <item x="282"/>
        <item x="14"/>
        <item x="16"/>
        <item x="18"/>
        <item x="21"/>
        <item x="25"/>
        <item x="42"/>
        <item x="43"/>
        <item x="44"/>
        <item x="46"/>
        <item x="47"/>
        <item x="48"/>
        <item x="49"/>
        <item x="50"/>
        <item x="51"/>
        <item x="54"/>
        <item x="55"/>
        <item x="56"/>
        <item x="57"/>
        <item x="58"/>
        <item x="59"/>
        <item x="60"/>
        <item x="61"/>
        <item x="62"/>
        <item x="63"/>
        <item x="64"/>
        <item x="65"/>
        <item x="66"/>
        <item x="67"/>
        <item x="68"/>
        <item x="69"/>
        <item x="70"/>
        <item x="71"/>
        <item x="72"/>
        <item x="73"/>
        <item x="74"/>
        <item x="75"/>
        <item x="76"/>
        <item x="77"/>
        <item x="78"/>
        <item x="79"/>
        <item x="80"/>
        <item x="82"/>
        <item x="85"/>
        <item x="86"/>
        <item x="87"/>
        <item x="88"/>
        <item x="89"/>
        <item x="90"/>
        <item x="91"/>
        <item x="92"/>
        <item x="93"/>
        <item x="95"/>
        <item x="96"/>
        <item x="97"/>
        <item x="98"/>
        <item x="100"/>
        <item x="101"/>
        <item x="102"/>
        <item x="103"/>
        <item x="104"/>
        <item x="105"/>
        <item x="106"/>
        <item x="107"/>
        <item x="108"/>
        <item x="109"/>
        <item x="110"/>
        <item x="112"/>
        <item x="113"/>
        <item x="114"/>
        <item x="115"/>
        <item x="116"/>
        <item x="118"/>
        <item x="119"/>
        <item x="120"/>
        <item x="122"/>
        <item x="123"/>
        <item x="124"/>
        <item x="125"/>
        <item x="126"/>
        <item x="127"/>
        <item x="128"/>
        <item x="129"/>
        <item x="130"/>
        <item x="131"/>
        <item x="132"/>
        <item x="133"/>
        <item x="134"/>
        <item x="135"/>
        <item x="136"/>
        <item x="137"/>
        <item x="138"/>
        <item x="139"/>
        <item x="140"/>
        <item x="141"/>
        <item m="1" x="285"/>
        <item x="142"/>
        <item x="143"/>
        <item x="144"/>
        <item x="146"/>
        <item x="147"/>
        <item x="148"/>
        <item x="149"/>
        <item x="150"/>
        <item x="151"/>
        <item x="152"/>
        <item x="153"/>
        <item x="154"/>
        <item x="155"/>
        <item x="156"/>
        <item x="157"/>
        <item x="158"/>
        <item x="160"/>
        <item x="161"/>
        <item x="163"/>
        <item x="165"/>
        <item x="166"/>
        <item x="167"/>
        <item x="168"/>
        <item x="169"/>
        <item x="170"/>
        <item x="171"/>
        <item x="172"/>
        <item x="173"/>
        <item x="174"/>
        <item x="175"/>
        <item x="176"/>
        <item x="177"/>
        <item x="178"/>
        <item x="179"/>
        <item x="180"/>
        <item x="181"/>
        <item m="1" x="286"/>
        <item x="183"/>
        <item x="184"/>
        <item x="185"/>
        <item x="186"/>
        <item x="187"/>
        <item x="188"/>
        <item x="191"/>
        <item x="193"/>
        <item x="194"/>
        <item x="195"/>
        <item x="196"/>
        <item x="197"/>
        <item x="198"/>
        <item m="1" x="287"/>
        <item x="200"/>
        <item x="201"/>
        <item x="203"/>
        <item x="206"/>
        <item x="208"/>
        <item x="209"/>
        <item x="210"/>
        <item m="1" x="288"/>
        <item x="211"/>
        <item x="212"/>
        <item x="214"/>
        <item x="215"/>
        <item x="216"/>
        <item x="217"/>
        <item x="218"/>
        <item x="219"/>
        <item m="1" x="289"/>
        <item x="220"/>
        <item x="221"/>
        <item x="222"/>
        <item x="223"/>
        <item x="224"/>
        <item m="1" x="290"/>
        <item x="225"/>
        <item x="226"/>
        <item x="227"/>
        <item x="229"/>
        <item x="231"/>
        <item x="232"/>
        <item x="233"/>
        <item m="1" x="291"/>
        <item x="234"/>
        <item m="1" x="292"/>
        <item x="235"/>
        <item x="236"/>
        <item m="1" x="293"/>
        <item x="237"/>
        <item m="1" x="294"/>
        <item x="239"/>
        <item x="240"/>
        <item x="242"/>
        <item x="243"/>
        <item x="244"/>
        <item x="245"/>
        <item x="246"/>
        <item m="1" x="295"/>
        <item x="248"/>
        <item x="250"/>
        <item x="251"/>
        <item x="252"/>
        <item x="253"/>
        <item x="254"/>
        <item x="255"/>
        <item x="256"/>
        <item x="257"/>
        <item x="258"/>
        <item x="259"/>
        <item x="260"/>
        <item x="261"/>
        <item x="262"/>
        <item x="263"/>
        <item x="264"/>
        <item x="265"/>
        <item x="268"/>
        <item x="269"/>
        <item x="270"/>
        <item x="271"/>
        <item m="1" x="297"/>
        <item x="273"/>
        <item m="1" x="298"/>
        <item x="274"/>
        <item m="1" x="299"/>
        <item x="276"/>
        <item x="277"/>
        <item x="278"/>
        <item m="1" x="300"/>
        <item x="279"/>
        <item x="280"/>
        <item x="281"/>
        <item t="default"/>
      </items>
    </pivotField>
    <pivotField showAll="0"/>
    <pivotField showAll="0"/>
    <pivotField showAll="0"/>
    <pivotField dataField="1" showAll="0"/>
    <pivotField showAll="0"/>
    <pivotField axis="axisCol" showAll="0">
      <items count="4">
        <item h="1" x="1"/>
        <item x="0"/>
        <item h="1" x="2"/>
        <item t="default"/>
      </items>
    </pivotField>
  </pivotFields>
  <rowFields count="1">
    <field x="0"/>
  </rowFields>
  <rowItems count="11">
    <i>
      <x v="30"/>
    </i>
    <i>
      <x v="34"/>
    </i>
    <i>
      <x v="43"/>
    </i>
    <i>
      <x v="50"/>
    </i>
    <i>
      <x v="74"/>
    </i>
    <i>
      <x v="83"/>
    </i>
    <i>
      <x v="171"/>
    </i>
    <i>
      <x v="222"/>
    </i>
    <i>
      <x v="274"/>
    </i>
    <i>
      <x v="280"/>
    </i>
    <i t="grand">
      <x/>
    </i>
  </rowItems>
  <colFields count="1">
    <field x="6"/>
  </colFields>
  <colItems count="2">
    <i>
      <x v="1"/>
    </i>
    <i t="grand">
      <x/>
    </i>
  </colItems>
  <dataFields count="1">
    <dataField name="Sum of Market Cap" fld="4" baseField="0" baseItem="0"/>
  </dataFields>
  <chartFormats count="119">
    <chartFormat chart="2" format="12" series="1">
      <pivotArea type="data" outline="0" fieldPosition="0">
        <references count="2">
          <reference field="4294967294" count="1" selected="0">
            <x v="0"/>
          </reference>
          <reference field="6" count="1" selected="0">
            <x v="1"/>
          </reference>
        </references>
      </pivotArea>
    </chartFormat>
    <chartFormat chart="2" format="13">
      <pivotArea type="data" outline="0" fieldPosition="0">
        <references count="3">
          <reference field="4294967294" count="1" selected="0">
            <x v="0"/>
          </reference>
          <reference field="0" count="1" selected="0">
            <x v="30"/>
          </reference>
          <reference field="6" count="1" selected="0">
            <x v="1"/>
          </reference>
        </references>
      </pivotArea>
    </chartFormat>
    <chartFormat chart="2" format="14">
      <pivotArea type="data" outline="0" fieldPosition="0">
        <references count="3">
          <reference field="4294967294" count="1" selected="0">
            <x v="0"/>
          </reference>
          <reference field="0" count="1" selected="0">
            <x v="34"/>
          </reference>
          <reference field="6" count="1" selected="0">
            <x v="1"/>
          </reference>
        </references>
      </pivotArea>
    </chartFormat>
    <chartFormat chart="2" format="15">
      <pivotArea type="data" outline="0" fieldPosition="0">
        <references count="3">
          <reference field="4294967294" count="1" selected="0">
            <x v="0"/>
          </reference>
          <reference field="0" count="1" selected="0">
            <x v="43"/>
          </reference>
          <reference field="6" count="1" selected="0">
            <x v="1"/>
          </reference>
        </references>
      </pivotArea>
    </chartFormat>
    <chartFormat chart="2" format="16">
      <pivotArea type="data" outline="0" fieldPosition="0">
        <references count="3">
          <reference field="4294967294" count="1" selected="0">
            <x v="0"/>
          </reference>
          <reference field="0" count="1" selected="0">
            <x v="50"/>
          </reference>
          <reference field="6" count="1" selected="0">
            <x v="1"/>
          </reference>
        </references>
      </pivotArea>
    </chartFormat>
    <chartFormat chart="2" format="17">
      <pivotArea type="data" outline="0" fieldPosition="0">
        <references count="3">
          <reference field="4294967294" count="1" selected="0">
            <x v="0"/>
          </reference>
          <reference field="0" count="1" selected="0">
            <x v="52"/>
          </reference>
          <reference field="6" count="1" selected="0">
            <x v="1"/>
          </reference>
        </references>
      </pivotArea>
    </chartFormat>
    <chartFormat chart="2" format="18">
      <pivotArea type="data" outline="0" fieldPosition="0">
        <references count="3">
          <reference field="4294967294" count="1" selected="0">
            <x v="0"/>
          </reference>
          <reference field="0" count="1" selected="0">
            <x v="74"/>
          </reference>
          <reference field="6" count="1" selected="0">
            <x v="1"/>
          </reference>
        </references>
      </pivotArea>
    </chartFormat>
    <chartFormat chart="2" format="19">
      <pivotArea type="data" outline="0" fieldPosition="0">
        <references count="3">
          <reference field="4294967294" count="1" selected="0">
            <x v="0"/>
          </reference>
          <reference field="0" count="1" selected="0">
            <x v="83"/>
          </reference>
          <reference field="6" count="1" selected="0">
            <x v="1"/>
          </reference>
        </references>
      </pivotArea>
    </chartFormat>
    <chartFormat chart="2" format="20">
      <pivotArea type="data" outline="0" fieldPosition="0">
        <references count="3">
          <reference field="4294967294" count="1" selected="0">
            <x v="0"/>
          </reference>
          <reference field="0" count="1" selected="0">
            <x v="171"/>
          </reference>
          <reference field="6" count="1" selected="0">
            <x v="1"/>
          </reference>
        </references>
      </pivotArea>
    </chartFormat>
    <chartFormat chart="2" format="21">
      <pivotArea type="data" outline="0" fieldPosition="0">
        <references count="3">
          <reference field="4294967294" count="1" selected="0">
            <x v="0"/>
          </reference>
          <reference field="0" count="1" selected="0">
            <x v="248"/>
          </reference>
          <reference field="6" count="1" selected="0">
            <x v="1"/>
          </reference>
        </references>
      </pivotArea>
    </chartFormat>
    <chartFormat chart="2" format="22">
      <pivotArea type="data" outline="0" fieldPosition="0">
        <references count="3">
          <reference field="4294967294" count="1" selected="0">
            <x v="0"/>
          </reference>
          <reference field="0" count="1" selected="0">
            <x v="250"/>
          </reference>
          <reference field="6" count="1" selected="0">
            <x v="1"/>
          </reference>
        </references>
      </pivotArea>
    </chartFormat>
    <chartFormat chart="2" format="23">
      <pivotArea type="data" outline="0" fieldPosition="0">
        <references count="3">
          <reference field="4294967294" count="1" selected="0">
            <x v="0"/>
          </reference>
          <reference field="0" count="1" selected="0">
            <x v="1"/>
          </reference>
          <reference field="6" count="1" selected="0">
            <x v="1"/>
          </reference>
        </references>
      </pivotArea>
    </chartFormat>
    <chartFormat chart="2" format="24">
      <pivotArea type="data" outline="0" fieldPosition="0">
        <references count="3">
          <reference field="4294967294" count="1" selected="0">
            <x v="0"/>
          </reference>
          <reference field="0" count="1" selected="0">
            <x v="2"/>
          </reference>
          <reference field="6" count="1" selected="0">
            <x v="1"/>
          </reference>
        </references>
      </pivotArea>
    </chartFormat>
    <chartFormat chart="2" format="25">
      <pivotArea type="data" outline="0" fieldPosition="0">
        <references count="3">
          <reference field="4294967294" count="1" selected="0">
            <x v="0"/>
          </reference>
          <reference field="0" count="1" selected="0">
            <x v="10"/>
          </reference>
          <reference field="6" count="1" selected="0">
            <x v="1"/>
          </reference>
        </references>
      </pivotArea>
    </chartFormat>
    <chartFormat chart="2" format="26">
      <pivotArea type="data" outline="0" fieldPosition="0">
        <references count="3">
          <reference field="4294967294" count="1" selected="0">
            <x v="0"/>
          </reference>
          <reference field="0" count="1" selected="0">
            <x v="12"/>
          </reference>
          <reference field="6" count="1" selected="0">
            <x v="1"/>
          </reference>
        </references>
      </pivotArea>
    </chartFormat>
    <chartFormat chart="2" format="27">
      <pivotArea type="data" outline="0" fieldPosition="0">
        <references count="3">
          <reference field="4294967294" count="1" selected="0">
            <x v="0"/>
          </reference>
          <reference field="0" count="1" selected="0">
            <x v="28"/>
          </reference>
          <reference field="6" count="1" selected="0">
            <x v="1"/>
          </reference>
        </references>
      </pivotArea>
    </chartFormat>
    <chartFormat chart="2" format="28">
      <pivotArea type="data" outline="0" fieldPosition="0">
        <references count="3">
          <reference field="4294967294" count="1" selected="0">
            <x v="0"/>
          </reference>
          <reference field="0" count="1" selected="0">
            <x v="39"/>
          </reference>
          <reference field="6" count="1" selected="0">
            <x v="1"/>
          </reference>
        </references>
      </pivotArea>
    </chartFormat>
    <chartFormat chart="2" format="29">
      <pivotArea type="data" outline="0" fieldPosition="0">
        <references count="3">
          <reference field="4294967294" count="1" selected="0">
            <x v="0"/>
          </reference>
          <reference field="0" count="1" selected="0">
            <x v="48"/>
          </reference>
          <reference field="6" count="1" selected="0">
            <x v="1"/>
          </reference>
        </references>
      </pivotArea>
    </chartFormat>
    <chartFormat chart="2" format="30">
      <pivotArea type="data" outline="0" fieldPosition="0">
        <references count="3">
          <reference field="4294967294" count="1" selected="0">
            <x v="0"/>
          </reference>
          <reference field="0" count="1" selected="0">
            <x v="59"/>
          </reference>
          <reference field="6" count="1" selected="0">
            <x v="1"/>
          </reference>
        </references>
      </pivotArea>
    </chartFormat>
    <chartFormat chart="2" format="31">
      <pivotArea type="data" outline="0" fieldPosition="0">
        <references count="3">
          <reference field="4294967294" count="1" selected="0">
            <x v="0"/>
          </reference>
          <reference field="0" count="1" selected="0">
            <x v="72"/>
          </reference>
          <reference field="6" count="1" selected="0">
            <x v="1"/>
          </reference>
        </references>
      </pivotArea>
    </chartFormat>
    <chartFormat chart="2" format="32">
      <pivotArea type="data" outline="0" fieldPosition="0">
        <references count="3">
          <reference field="4294967294" count="1" selected="0">
            <x v="0"/>
          </reference>
          <reference field="0" count="1" selected="0">
            <x v="97"/>
          </reference>
          <reference field="6" count="1" selected="0">
            <x v="1"/>
          </reference>
        </references>
      </pivotArea>
    </chartFormat>
    <chartFormat chart="2" format="33">
      <pivotArea type="data" outline="0" fieldPosition="0">
        <references count="3">
          <reference field="4294967294" count="1" selected="0">
            <x v="0"/>
          </reference>
          <reference field="0" count="1" selected="0">
            <x v="114"/>
          </reference>
          <reference field="6" count="1" selected="0">
            <x v="1"/>
          </reference>
        </references>
      </pivotArea>
    </chartFormat>
    <chartFormat chart="2" format="34">
      <pivotArea type="data" outline="0" fieldPosition="0">
        <references count="3">
          <reference field="4294967294" count="1" selected="0">
            <x v="0"/>
          </reference>
          <reference field="0" count="1" selected="0">
            <x v="124"/>
          </reference>
          <reference field="6" count="1" selected="0">
            <x v="1"/>
          </reference>
        </references>
      </pivotArea>
    </chartFormat>
    <chartFormat chart="2" format="35">
      <pivotArea type="data" outline="0" fieldPosition="0">
        <references count="3">
          <reference field="4294967294" count="1" selected="0">
            <x v="0"/>
          </reference>
          <reference field="0" count="1" selected="0">
            <x v="126"/>
          </reference>
          <reference field="6" count="1" selected="0">
            <x v="1"/>
          </reference>
        </references>
      </pivotArea>
    </chartFormat>
    <chartFormat chart="2" format="36">
      <pivotArea type="data" outline="0" fieldPosition="0">
        <references count="3">
          <reference field="4294967294" count="1" selected="0">
            <x v="0"/>
          </reference>
          <reference field="0" count="1" selected="0">
            <x v="141"/>
          </reference>
          <reference field="6" count="1" selected="0">
            <x v="1"/>
          </reference>
        </references>
      </pivotArea>
    </chartFormat>
    <chartFormat chart="2" format="37">
      <pivotArea type="data" outline="0" fieldPosition="0">
        <references count="3">
          <reference field="4294967294" count="1" selected="0">
            <x v="0"/>
          </reference>
          <reference field="0" count="1" selected="0">
            <x v="146"/>
          </reference>
          <reference field="6" count="1" selected="0">
            <x v="1"/>
          </reference>
        </references>
      </pivotArea>
    </chartFormat>
    <chartFormat chart="2" format="38">
      <pivotArea type="data" outline="0" fieldPosition="0">
        <references count="3">
          <reference field="4294967294" count="1" selected="0">
            <x v="0"/>
          </reference>
          <reference field="0" count="1" selected="0">
            <x v="203"/>
          </reference>
          <reference field="6" count="1" selected="0">
            <x v="1"/>
          </reference>
        </references>
      </pivotArea>
    </chartFormat>
    <chartFormat chart="2" format="39">
      <pivotArea type="data" outline="0" fieldPosition="0">
        <references count="3">
          <reference field="4294967294" count="1" selected="0">
            <x v="0"/>
          </reference>
          <reference field="0" count="1" selected="0">
            <x v="208"/>
          </reference>
          <reference field="6" count="1" selected="0">
            <x v="1"/>
          </reference>
        </references>
      </pivotArea>
    </chartFormat>
    <chartFormat chart="2" format="40">
      <pivotArea type="data" outline="0" fieldPosition="0">
        <references count="3">
          <reference field="4294967294" count="1" selected="0">
            <x v="0"/>
          </reference>
          <reference field="0" count="1" selected="0">
            <x v="222"/>
          </reference>
          <reference field="6" count="1" selected="0">
            <x v="1"/>
          </reference>
        </references>
      </pivotArea>
    </chartFormat>
    <chartFormat chart="2" format="41">
      <pivotArea type="data" outline="0" fieldPosition="0">
        <references count="3">
          <reference field="4294967294" count="1" selected="0">
            <x v="0"/>
          </reference>
          <reference field="0" count="1" selected="0">
            <x v="240"/>
          </reference>
          <reference field="6" count="1" selected="0">
            <x v="1"/>
          </reference>
        </references>
      </pivotArea>
    </chartFormat>
    <chartFormat chart="2" format="42">
      <pivotArea type="data" outline="0" fieldPosition="0">
        <references count="3">
          <reference field="4294967294" count="1" selected="0">
            <x v="0"/>
          </reference>
          <reference field="0" count="1" selected="0">
            <x v="249"/>
          </reference>
          <reference field="6" count="1" selected="0">
            <x v="1"/>
          </reference>
        </references>
      </pivotArea>
    </chartFormat>
    <chartFormat chart="2" format="43">
      <pivotArea type="data" outline="0" fieldPosition="0">
        <references count="3">
          <reference field="4294967294" count="1" selected="0">
            <x v="0"/>
          </reference>
          <reference field="0" count="1" selected="0">
            <x v="251"/>
          </reference>
          <reference field="6" count="1" selected="0">
            <x v="1"/>
          </reference>
        </references>
      </pivotArea>
    </chartFormat>
    <chartFormat chart="2" format="44">
      <pivotArea type="data" outline="0" fieldPosition="0">
        <references count="3">
          <reference field="4294967294" count="1" selected="0">
            <x v="0"/>
          </reference>
          <reference field="0" count="1" selected="0">
            <x v="254"/>
          </reference>
          <reference field="6" count="1" selected="0">
            <x v="1"/>
          </reference>
        </references>
      </pivotArea>
    </chartFormat>
    <chartFormat chart="2" format="45">
      <pivotArea type="data" outline="0" fieldPosition="0">
        <references count="3">
          <reference field="4294967294" count="1" selected="0">
            <x v="0"/>
          </reference>
          <reference field="0" count="1" selected="0">
            <x v="266"/>
          </reference>
          <reference field="6" count="1" selected="0">
            <x v="1"/>
          </reference>
        </references>
      </pivotArea>
    </chartFormat>
    <chartFormat chart="2" format="46">
      <pivotArea type="data" outline="0" fieldPosition="0">
        <references count="3">
          <reference field="4294967294" count="1" selected="0">
            <x v="0"/>
          </reference>
          <reference field="0" count="1" selected="0">
            <x v="274"/>
          </reference>
          <reference field="6" count="1" selected="0">
            <x v="1"/>
          </reference>
        </references>
      </pivotArea>
    </chartFormat>
    <chartFormat chart="2" format="47">
      <pivotArea type="data" outline="0" fieldPosition="0">
        <references count="3">
          <reference field="4294967294" count="1" selected="0">
            <x v="0"/>
          </reference>
          <reference field="0" count="1" selected="0">
            <x v="280"/>
          </reference>
          <reference field="6" count="1" selected="0">
            <x v="1"/>
          </reference>
        </references>
      </pivotArea>
    </chartFormat>
    <chartFormat chart="2" format="48">
      <pivotArea type="data" outline="0" fieldPosition="0">
        <references count="3">
          <reference field="4294967294" count="1" selected="0">
            <x v="0"/>
          </reference>
          <reference field="0" count="1" selected="0">
            <x v="281"/>
          </reference>
          <reference field="6" count="1" selected="0">
            <x v="1"/>
          </reference>
        </references>
      </pivotArea>
    </chartFormat>
    <chartFormat chart="2" format="49">
      <pivotArea type="data" outline="0" fieldPosition="0">
        <references count="3">
          <reference field="4294967294" count="1" selected="0">
            <x v="0"/>
          </reference>
          <reference field="0" count="1" selected="0">
            <x v="288"/>
          </reference>
          <reference field="6" count="1" selected="0">
            <x v="1"/>
          </reference>
        </references>
      </pivotArea>
    </chartFormat>
    <chartFormat chart="2" format="50">
      <pivotArea type="data" outline="0" fieldPosition="0">
        <references count="3">
          <reference field="4294967294" count="1" selected="0">
            <x v="0"/>
          </reference>
          <reference field="0" count="1" selected="0">
            <x v="290"/>
          </reference>
          <reference field="6" count="1" selected="0">
            <x v="1"/>
          </reference>
        </references>
      </pivotArea>
    </chartFormat>
    <chartFormat chart="2" format="51">
      <pivotArea type="data" outline="0" fieldPosition="0">
        <references count="3">
          <reference field="4294967294" count="1" selected="0">
            <x v="0"/>
          </reference>
          <reference field="0" count="1" selected="0">
            <x v="291"/>
          </reference>
          <reference field="6" count="1" selected="0">
            <x v="1"/>
          </reference>
        </references>
      </pivotArea>
    </chartFormat>
    <chartFormat chart="2" format="52">
      <pivotArea type="data" outline="0" fieldPosition="0">
        <references count="3">
          <reference field="4294967294" count="1" selected="0">
            <x v="0"/>
          </reference>
          <reference field="0" count="1" selected="0">
            <x v="293"/>
          </reference>
          <reference field="6" count="1" selected="0">
            <x v="1"/>
          </reference>
        </references>
      </pivotArea>
    </chartFormat>
    <chartFormat chart="2" format="53">
      <pivotArea type="data" outline="0" fieldPosition="0">
        <references count="3">
          <reference field="4294967294" count="1" selected="0">
            <x v="0"/>
          </reference>
          <reference field="0" count="1" selected="0">
            <x v="296"/>
          </reference>
          <reference field="6" count="1" selected="0">
            <x v="1"/>
          </reference>
        </references>
      </pivotArea>
    </chartFormat>
    <chartFormat chart="2" format="54">
      <pivotArea type="data" outline="0" fieldPosition="0">
        <references count="3">
          <reference field="4294967294" count="1" selected="0">
            <x v="0"/>
          </reference>
          <reference field="0" count="1" selected="0">
            <x v="302"/>
          </reference>
          <reference field="6" count="1" selected="0">
            <x v="1"/>
          </reference>
        </references>
      </pivotArea>
    </chartFormat>
    <chartFormat chart="2" format="55">
      <pivotArea type="data" outline="0" fieldPosition="0">
        <references count="3">
          <reference field="4294967294" count="1" selected="0">
            <x v="0"/>
          </reference>
          <reference field="0" count="1" selected="0">
            <x v="306"/>
          </reference>
          <reference field="6" count="1" selected="0">
            <x v="1"/>
          </reference>
        </references>
      </pivotArea>
    </chartFormat>
    <chartFormat chart="2" format="56">
      <pivotArea type="data" outline="0" fieldPosition="0">
        <references count="3">
          <reference field="4294967294" count="1" selected="0">
            <x v="0"/>
          </reference>
          <reference field="0" count="1" selected="0">
            <x v="307"/>
          </reference>
          <reference field="6" count="1" selected="0">
            <x v="1"/>
          </reference>
        </references>
      </pivotArea>
    </chartFormat>
    <chartFormat chart="2" format="57">
      <pivotArea type="data" outline="0" fieldPosition="0">
        <references count="3">
          <reference field="4294967294" count="1" selected="0">
            <x v="0"/>
          </reference>
          <reference field="0" count="1" selected="0">
            <x v="309"/>
          </reference>
          <reference field="6" count="1" selected="0">
            <x v="1"/>
          </reference>
        </references>
      </pivotArea>
    </chartFormat>
    <chartFormat chart="2" format="58">
      <pivotArea type="data" outline="0" fieldPosition="0">
        <references count="3">
          <reference field="4294967294" count="1" selected="0">
            <x v="0"/>
          </reference>
          <reference field="0" count="1" selected="0">
            <x v="311"/>
          </reference>
          <reference field="6" count="1" selected="0">
            <x v="1"/>
          </reference>
        </references>
      </pivotArea>
    </chartFormat>
    <chartFormat chart="2" format="59">
      <pivotArea type="data" outline="0" fieldPosition="0">
        <references count="3">
          <reference field="4294967294" count="1" selected="0">
            <x v="0"/>
          </reference>
          <reference field="0" count="1" selected="0">
            <x v="319"/>
          </reference>
          <reference field="6" count="1" selected="0">
            <x v="1"/>
          </reference>
        </references>
      </pivotArea>
    </chartFormat>
    <chartFormat chart="2" format="60">
      <pivotArea type="data" outline="0" fieldPosition="0">
        <references count="3">
          <reference field="4294967294" count="1" selected="0">
            <x v="0"/>
          </reference>
          <reference field="0" count="1" selected="0">
            <x v="321"/>
          </reference>
          <reference field="6" count="1" selected="0">
            <x v="1"/>
          </reference>
        </references>
      </pivotArea>
    </chartFormat>
    <chartFormat chart="2" format="61">
      <pivotArea type="data" outline="0" fieldPosition="0">
        <references count="3">
          <reference field="4294967294" count="1" selected="0">
            <x v="0"/>
          </reference>
          <reference field="0" count="1" selected="0">
            <x v="324"/>
          </reference>
          <reference field="6" count="1" selected="0">
            <x v="1"/>
          </reference>
        </references>
      </pivotArea>
    </chartFormat>
    <chartFormat chart="2" format="62">
      <pivotArea type="data" outline="0" fieldPosition="0">
        <references count="3">
          <reference field="4294967294" count="1" selected="0">
            <x v="0"/>
          </reference>
          <reference field="0" count="1" selected="0">
            <x v="326"/>
          </reference>
          <reference field="6" count="1" selected="0">
            <x v="1"/>
          </reference>
        </references>
      </pivotArea>
    </chartFormat>
    <chartFormat chart="2" format="63">
      <pivotArea type="data" outline="0" fieldPosition="0">
        <references count="3">
          <reference field="4294967294" count="1" selected="0">
            <x v="0"/>
          </reference>
          <reference field="0" count="1" selected="0">
            <x v="330"/>
          </reference>
          <reference field="6" count="1" selected="0">
            <x v="1"/>
          </reference>
        </references>
      </pivotArea>
    </chartFormat>
    <chartFormat chart="2" format="64">
      <pivotArea type="data" outline="0" fieldPosition="0">
        <references count="3">
          <reference field="4294967294" count="1" selected="0">
            <x v="0"/>
          </reference>
          <reference field="0" count="1" selected="0">
            <x v="331"/>
          </reference>
          <reference field="6" count="1" selected="0">
            <x v="1"/>
          </reference>
        </references>
      </pivotArea>
    </chartFormat>
    <chartFormat chart="2" format="65">
      <pivotArea type="data" outline="0" fieldPosition="0">
        <references count="3">
          <reference field="4294967294" count="1" selected="0">
            <x v="0"/>
          </reference>
          <reference field="0" count="1" selected="0">
            <x v="332"/>
          </reference>
          <reference field="6" count="1" selected="0">
            <x v="1"/>
          </reference>
        </references>
      </pivotArea>
    </chartFormat>
    <chartFormat chart="2" format="66">
      <pivotArea type="data" outline="0" fieldPosition="0">
        <references count="3">
          <reference field="4294967294" count="1" selected="0">
            <x v="0"/>
          </reference>
          <reference field="0" count="1" selected="0">
            <x v="333"/>
          </reference>
          <reference field="6" count="1" selected="0">
            <x v="1"/>
          </reference>
        </references>
      </pivotArea>
    </chartFormat>
    <chartFormat chart="2" format="67">
      <pivotArea type="data" outline="0" fieldPosition="0">
        <references count="3">
          <reference field="4294967294" count="1" selected="0">
            <x v="0"/>
          </reference>
          <reference field="0" count="1" selected="0">
            <x v="336"/>
          </reference>
          <reference field="6" count="1" selected="0">
            <x v="1"/>
          </reference>
        </references>
      </pivotArea>
    </chartFormat>
    <chartFormat chart="2" format="68">
      <pivotArea type="data" outline="0" fieldPosition="0">
        <references count="3">
          <reference field="4294967294" count="1" selected="0">
            <x v="0"/>
          </reference>
          <reference field="0" count="1" selected="0">
            <x v="340"/>
          </reference>
          <reference field="6" count="1" selected="0">
            <x v="1"/>
          </reference>
        </references>
      </pivotArea>
    </chartFormat>
    <chartFormat chart="2" format="69">
      <pivotArea type="data" outline="0" fieldPosition="0">
        <references count="3">
          <reference field="4294967294" count="1" selected="0">
            <x v="0"/>
          </reference>
          <reference field="0" count="1" selected="0">
            <x v="341"/>
          </reference>
          <reference field="6" count="1" selected="0">
            <x v="1"/>
          </reference>
        </references>
      </pivotArea>
    </chartFormat>
    <chartFormat chart="2" format="70">
      <pivotArea type="data" outline="0" fieldPosition="0">
        <references count="3">
          <reference field="4294967294" count="1" selected="0">
            <x v="0"/>
          </reference>
          <reference field="0" count="1" selected="0">
            <x v="342"/>
          </reference>
          <reference field="6" count="1" selected="0">
            <x v="1"/>
          </reference>
        </references>
      </pivotArea>
    </chartFormat>
    <chartFormat chart="2" format="71">
      <pivotArea type="data" outline="0" fieldPosition="0">
        <references count="3">
          <reference field="4294967294" count="1" selected="0">
            <x v="0"/>
          </reference>
          <reference field="0" count="1" selected="0">
            <x v="345"/>
          </reference>
          <reference field="6" count="1" selected="0">
            <x v="1"/>
          </reference>
        </references>
      </pivotArea>
    </chartFormat>
    <chartFormat chart="2" format="72">
      <pivotArea type="data" outline="0" fieldPosition="0">
        <references count="3">
          <reference field="4294967294" count="1" selected="0">
            <x v="0"/>
          </reference>
          <reference field="0" count="1" selected="0">
            <x v="346"/>
          </reference>
          <reference field="6" count="1" selected="0">
            <x v="1"/>
          </reference>
        </references>
      </pivotArea>
    </chartFormat>
    <chartFormat chart="2" format="73">
      <pivotArea type="data" outline="0" fieldPosition="0">
        <references count="3">
          <reference field="4294967294" count="1" selected="0">
            <x v="0"/>
          </reference>
          <reference field="0" count="1" selected="0">
            <x v="348"/>
          </reference>
          <reference field="6" count="1" selected="0">
            <x v="1"/>
          </reference>
        </references>
      </pivotArea>
    </chartFormat>
    <chartFormat chart="2" format="74">
      <pivotArea type="data" outline="0" fieldPosition="0">
        <references count="3">
          <reference field="4294967294" count="1" selected="0">
            <x v="0"/>
          </reference>
          <reference field="0" count="1" selected="0">
            <x v="351"/>
          </reference>
          <reference field="6" count="1" selected="0">
            <x v="1"/>
          </reference>
        </references>
      </pivotArea>
    </chartFormat>
    <chartFormat chart="2" format="75">
      <pivotArea type="data" outline="0" fieldPosition="0">
        <references count="3">
          <reference field="4294967294" count="1" selected="0">
            <x v="0"/>
          </reference>
          <reference field="0" count="1" selected="0">
            <x v="353"/>
          </reference>
          <reference field="6" count="1" selected="0">
            <x v="1"/>
          </reference>
        </references>
      </pivotArea>
    </chartFormat>
    <chartFormat chart="2" format="76">
      <pivotArea type="data" outline="0" fieldPosition="0">
        <references count="3">
          <reference field="4294967294" count="1" selected="0">
            <x v="0"/>
          </reference>
          <reference field="0" count="1" selected="0">
            <x v="355"/>
          </reference>
          <reference field="6" count="1" selected="0">
            <x v="1"/>
          </reference>
        </references>
      </pivotArea>
    </chartFormat>
    <chartFormat chart="2" format="77">
      <pivotArea type="data" outline="0" fieldPosition="0">
        <references count="3">
          <reference field="4294967294" count="1" selected="0">
            <x v="0"/>
          </reference>
          <reference field="0" count="1" selected="0">
            <x v="359"/>
          </reference>
          <reference field="6" count="1" selected="0">
            <x v="1"/>
          </reference>
        </references>
      </pivotArea>
    </chartFormat>
    <chartFormat chart="2" format="78">
      <pivotArea type="data" outline="0" fieldPosition="0">
        <references count="3">
          <reference field="4294967294" count="1" selected="0">
            <x v="0"/>
          </reference>
          <reference field="0" count="1" selected="0">
            <x v="360"/>
          </reference>
          <reference field="6" count="1" selected="0">
            <x v="1"/>
          </reference>
        </references>
      </pivotArea>
    </chartFormat>
    <chartFormat chart="2" format="79">
      <pivotArea type="data" outline="0" fieldPosition="0">
        <references count="3">
          <reference field="4294967294" count="1" selected="0">
            <x v="0"/>
          </reference>
          <reference field="0" count="1" selected="0">
            <x v="362"/>
          </reference>
          <reference field="6" count="1" selected="0">
            <x v="1"/>
          </reference>
        </references>
      </pivotArea>
    </chartFormat>
    <chartFormat chart="2" format="80">
      <pivotArea type="data" outline="0" fieldPosition="0">
        <references count="3">
          <reference field="4294967294" count="1" selected="0">
            <x v="0"/>
          </reference>
          <reference field="0" count="1" selected="0">
            <x v="363"/>
          </reference>
          <reference field="6" count="1" selected="0">
            <x v="1"/>
          </reference>
        </references>
      </pivotArea>
    </chartFormat>
    <chartFormat chart="2" format="81">
      <pivotArea type="data" outline="0" fieldPosition="0">
        <references count="3">
          <reference field="4294967294" count="1" selected="0">
            <x v="0"/>
          </reference>
          <reference field="0" count="1" selected="0">
            <x v="364"/>
          </reference>
          <reference field="6" count="1" selected="0">
            <x v="1"/>
          </reference>
        </references>
      </pivotArea>
    </chartFormat>
    <chartFormat chart="2" format="82">
      <pivotArea type="data" outline="0" fieldPosition="0">
        <references count="3">
          <reference field="4294967294" count="1" selected="0">
            <x v="0"/>
          </reference>
          <reference field="0" count="1" selected="0">
            <x v="366"/>
          </reference>
          <reference field="6" count="1" selected="0">
            <x v="1"/>
          </reference>
        </references>
      </pivotArea>
    </chartFormat>
    <chartFormat chart="2" format="83">
      <pivotArea type="data" outline="0" fieldPosition="0">
        <references count="3">
          <reference field="4294967294" count="1" selected="0">
            <x v="0"/>
          </reference>
          <reference field="0" count="1" selected="0">
            <x v="370"/>
          </reference>
          <reference field="6" count="1" selected="0">
            <x v="1"/>
          </reference>
        </references>
      </pivotArea>
    </chartFormat>
    <chartFormat chart="2" format="84">
      <pivotArea type="data" outline="0" fieldPosition="0">
        <references count="3">
          <reference field="4294967294" count="1" selected="0">
            <x v="0"/>
          </reference>
          <reference field="0" count="1" selected="0">
            <x v="374"/>
          </reference>
          <reference field="6" count="1" selected="0">
            <x v="1"/>
          </reference>
        </references>
      </pivotArea>
    </chartFormat>
    <chartFormat chart="2" format="85">
      <pivotArea type="data" outline="0" fieldPosition="0">
        <references count="3">
          <reference field="4294967294" count="1" selected="0">
            <x v="0"/>
          </reference>
          <reference field="0" count="1" selected="0">
            <x v="375"/>
          </reference>
          <reference field="6" count="1" selected="0">
            <x v="1"/>
          </reference>
        </references>
      </pivotArea>
    </chartFormat>
    <chartFormat chart="2" format="86">
      <pivotArea type="data" outline="0" fieldPosition="0">
        <references count="3">
          <reference field="4294967294" count="1" selected="0">
            <x v="0"/>
          </reference>
          <reference field="0" count="1" selected="0">
            <x v="377"/>
          </reference>
          <reference field="6" count="1" selected="0">
            <x v="1"/>
          </reference>
        </references>
      </pivotArea>
    </chartFormat>
    <chartFormat chart="2" format="87">
      <pivotArea type="data" outline="0" fieldPosition="0">
        <references count="3">
          <reference field="4294967294" count="1" selected="0">
            <x v="0"/>
          </reference>
          <reference field="0" count="1" selected="0">
            <x v="378"/>
          </reference>
          <reference field="6" count="1" selected="0">
            <x v="1"/>
          </reference>
        </references>
      </pivotArea>
    </chartFormat>
    <chartFormat chart="2" format="88">
      <pivotArea type="data" outline="0" fieldPosition="0">
        <references count="3">
          <reference field="4294967294" count="1" selected="0">
            <x v="0"/>
          </reference>
          <reference field="0" count="1" selected="0">
            <x v="379"/>
          </reference>
          <reference field="6" count="1" selected="0">
            <x v="1"/>
          </reference>
        </references>
      </pivotArea>
    </chartFormat>
    <chartFormat chart="2" format="89">
      <pivotArea type="data" outline="0" fieldPosition="0">
        <references count="3">
          <reference field="4294967294" count="1" selected="0">
            <x v="0"/>
          </reference>
          <reference field="0" count="1" selected="0">
            <x v="383"/>
          </reference>
          <reference field="6" count="1" selected="0">
            <x v="1"/>
          </reference>
        </references>
      </pivotArea>
    </chartFormat>
    <chartFormat chart="2" format="90">
      <pivotArea type="data" outline="0" fieldPosition="0">
        <references count="3">
          <reference field="4294967294" count="1" selected="0">
            <x v="0"/>
          </reference>
          <reference field="0" count="1" selected="0">
            <x v="384"/>
          </reference>
          <reference field="6" count="1" selected="0">
            <x v="1"/>
          </reference>
        </references>
      </pivotArea>
    </chartFormat>
    <chartFormat chart="2" format="91">
      <pivotArea type="data" outline="0" fieldPosition="0">
        <references count="3">
          <reference field="4294967294" count="1" selected="0">
            <x v="0"/>
          </reference>
          <reference field="0" count="1" selected="0">
            <x v="385"/>
          </reference>
          <reference field="6" count="1" selected="0">
            <x v="1"/>
          </reference>
        </references>
      </pivotArea>
    </chartFormat>
    <chartFormat chart="2" format="92">
      <pivotArea type="data" outline="0" fieldPosition="0">
        <references count="3">
          <reference field="4294967294" count="1" selected="0">
            <x v="0"/>
          </reference>
          <reference field="0" count="1" selected="0">
            <x v="389"/>
          </reference>
          <reference field="6" count="1" selected="0">
            <x v="1"/>
          </reference>
        </references>
      </pivotArea>
    </chartFormat>
    <chartFormat chart="2" format="93">
      <pivotArea type="data" outline="0" fieldPosition="0">
        <references count="3">
          <reference field="4294967294" count="1" selected="0">
            <x v="0"/>
          </reference>
          <reference field="0" count="1" selected="0">
            <x v="393"/>
          </reference>
          <reference field="6" count="1" selected="0">
            <x v="1"/>
          </reference>
        </references>
      </pivotArea>
    </chartFormat>
    <chartFormat chart="2" format="94">
      <pivotArea type="data" outline="0" fieldPosition="0">
        <references count="3">
          <reference field="4294967294" count="1" selected="0">
            <x v="0"/>
          </reference>
          <reference field="0" count="1" selected="0">
            <x v="394"/>
          </reference>
          <reference field="6" count="1" selected="0">
            <x v="1"/>
          </reference>
        </references>
      </pivotArea>
    </chartFormat>
    <chartFormat chart="2" format="95">
      <pivotArea type="data" outline="0" fieldPosition="0">
        <references count="3">
          <reference field="4294967294" count="1" selected="0">
            <x v="0"/>
          </reference>
          <reference field="0" count="1" selected="0">
            <x v="397"/>
          </reference>
          <reference field="6" count="1" selected="0">
            <x v="1"/>
          </reference>
        </references>
      </pivotArea>
    </chartFormat>
    <chartFormat chart="2" format="96">
      <pivotArea type="data" outline="0" fieldPosition="0">
        <references count="3">
          <reference field="4294967294" count="1" selected="0">
            <x v="0"/>
          </reference>
          <reference field="0" count="1" selected="0">
            <x v="400"/>
          </reference>
          <reference field="6" count="1" selected="0">
            <x v="1"/>
          </reference>
        </references>
      </pivotArea>
    </chartFormat>
    <chartFormat chart="2" format="97">
      <pivotArea type="data" outline="0" fieldPosition="0">
        <references count="3">
          <reference field="4294967294" count="1" selected="0">
            <x v="0"/>
          </reference>
          <reference field="0" count="1" selected="0">
            <x v="403"/>
          </reference>
          <reference field="6" count="1" selected="0">
            <x v="1"/>
          </reference>
        </references>
      </pivotArea>
    </chartFormat>
    <chartFormat chart="2" format="98">
      <pivotArea type="data" outline="0" fieldPosition="0">
        <references count="3">
          <reference field="4294967294" count="1" selected="0">
            <x v="0"/>
          </reference>
          <reference field="0" count="1" selected="0">
            <x v="404"/>
          </reference>
          <reference field="6" count="1" selected="0">
            <x v="1"/>
          </reference>
        </references>
      </pivotArea>
    </chartFormat>
    <chartFormat chart="2" format="99">
      <pivotArea type="data" outline="0" fieldPosition="0">
        <references count="3">
          <reference field="4294967294" count="1" selected="0">
            <x v="0"/>
          </reference>
          <reference field="0" count="1" selected="0">
            <x v="405"/>
          </reference>
          <reference field="6" count="1" selected="0">
            <x v="1"/>
          </reference>
        </references>
      </pivotArea>
    </chartFormat>
    <chartFormat chart="2" format="100">
      <pivotArea type="data" outline="0" fieldPosition="0">
        <references count="3">
          <reference field="4294967294" count="1" selected="0">
            <x v="0"/>
          </reference>
          <reference field="0" count="1" selected="0">
            <x v="407"/>
          </reference>
          <reference field="6" count="1" selected="0">
            <x v="1"/>
          </reference>
        </references>
      </pivotArea>
    </chartFormat>
    <chartFormat chart="2" format="101">
      <pivotArea type="data" outline="0" fieldPosition="0">
        <references count="3">
          <reference field="4294967294" count="1" selected="0">
            <x v="0"/>
          </reference>
          <reference field="0" count="1" selected="0">
            <x v="409"/>
          </reference>
          <reference field="6" count="1" selected="0">
            <x v="1"/>
          </reference>
        </references>
      </pivotArea>
    </chartFormat>
    <chartFormat chart="2" format="102">
      <pivotArea type="data" outline="0" fieldPosition="0">
        <references count="3">
          <reference field="4294967294" count="1" selected="0">
            <x v="0"/>
          </reference>
          <reference field="0" count="1" selected="0">
            <x v="410"/>
          </reference>
          <reference field="6" count="1" selected="0">
            <x v="1"/>
          </reference>
        </references>
      </pivotArea>
    </chartFormat>
    <chartFormat chart="2" format="103">
      <pivotArea type="data" outline="0" fieldPosition="0">
        <references count="3">
          <reference field="4294967294" count="1" selected="0">
            <x v="0"/>
          </reference>
          <reference field="0" count="1" selected="0">
            <x v="411"/>
          </reference>
          <reference field="6" count="1" selected="0">
            <x v="1"/>
          </reference>
        </references>
      </pivotArea>
    </chartFormat>
    <chartFormat chart="2" format="104">
      <pivotArea type="data" outline="0" fieldPosition="0">
        <references count="3">
          <reference field="4294967294" count="1" selected="0">
            <x v="0"/>
          </reference>
          <reference field="0" count="1" selected="0">
            <x v="412"/>
          </reference>
          <reference field="6" count="1" selected="0">
            <x v="1"/>
          </reference>
        </references>
      </pivotArea>
    </chartFormat>
    <chartFormat chart="2" format="105">
      <pivotArea type="data" outline="0" fieldPosition="0">
        <references count="3">
          <reference field="4294967294" count="1" selected="0">
            <x v="0"/>
          </reference>
          <reference field="0" count="1" selected="0">
            <x v="414"/>
          </reference>
          <reference field="6" count="1" selected="0">
            <x v="1"/>
          </reference>
        </references>
      </pivotArea>
    </chartFormat>
    <chartFormat chart="2" format="106">
      <pivotArea type="data" outline="0" fieldPosition="0">
        <references count="3">
          <reference field="4294967294" count="1" selected="0">
            <x v="0"/>
          </reference>
          <reference field="0" count="1" selected="0">
            <x v="417"/>
          </reference>
          <reference field="6" count="1" selected="0">
            <x v="1"/>
          </reference>
        </references>
      </pivotArea>
    </chartFormat>
    <chartFormat chart="2" format="107">
      <pivotArea type="data" outline="0" fieldPosition="0">
        <references count="3">
          <reference field="4294967294" count="1" selected="0">
            <x v="0"/>
          </reference>
          <reference field="0" count="1" selected="0">
            <x v="418"/>
          </reference>
          <reference field="6" count="1" selected="0">
            <x v="1"/>
          </reference>
        </references>
      </pivotArea>
    </chartFormat>
    <chartFormat chart="2" format="108">
      <pivotArea type="data" outline="0" fieldPosition="0">
        <references count="3">
          <reference field="4294967294" count="1" selected="0">
            <x v="0"/>
          </reference>
          <reference field="0" count="1" selected="0">
            <x v="424"/>
          </reference>
          <reference field="6" count="1" selected="0">
            <x v="1"/>
          </reference>
        </references>
      </pivotArea>
    </chartFormat>
    <chartFormat chart="2" format="109">
      <pivotArea type="data" outline="0" fieldPosition="0">
        <references count="3">
          <reference field="4294967294" count="1" selected="0">
            <x v="0"/>
          </reference>
          <reference field="0" count="1" selected="0">
            <x v="425"/>
          </reference>
          <reference field="6" count="1" selected="0">
            <x v="1"/>
          </reference>
        </references>
      </pivotArea>
    </chartFormat>
    <chartFormat chart="2" format="110">
      <pivotArea type="data" outline="0" fieldPosition="0">
        <references count="3">
          <reference field="4294967294" count="1" selected="0">
            <x v="0"/>
          </reference>
          <reference field="0" count="1" selected="0">
            <x v="429"/>
          </reference>
          <reference field="6" count="1" selected="0">
            <x v="1"/>
          </reference>
        </references>
      </pivotArea>
    </chartFormat>
    <chartFormat chart="2" format="111">
      <pivotArea type="data" outline="0" fieldPosition="0">
        <references count="3">
          <reference field="4294967294" count="1" selected="0">
            <x v="0"/>
          </reference>
          <reference field="0" count="1" selected="0">
            <x v="430"/>
          </reference>
          <reference field="6" count="1" selected="0">
            <x v="1"/>
          </reference>
        </references>
      </pivotArea>
    </chartFormat>
    <chartFormat chart="2" format="112">
      <pivotArea type="data" outline="0" fieldPosition="0">
        <references count="3">
          <reference field="4294967294" count="1" selected="0">
            <x v="0"/>
          </reference>
          <reference field="0" count="1" selected="0">
            <x v="431"/>
          </reference>
          <reference field="6" count="1" selected="0">
            <x v="1"/>
          </reference>
        </references>
      </pivotArea>
    </chartFormat>
    <chartFormat chart="2" format="113">
      <pivotArea type="data" outline="0" fieldPosition="0">
        <references count="3">
          <reference field="4294967294" count="1" selected="0">
            <x v="0"/>
          </reference>
          <reference field="0" count="1" selected="0">
            <x v="433"/>
          </reference>
          <reference field="6" count="1" selected="0">
            <x v="1"/>
          </reference>
        </references>
      </pivotArea>
    </chartFormat>
    <chartFormat chart="2" format="114">
      <pivotArea type="data" outline="0" fieldPosition="0">
        <references count="3">
          <reference field="4294967294" count="1" selected="0">
            <x v="0"/>
          </reference>
          <reference field="0" count="1" selected="0">
            <x v="434"/>
          </reference>
          <reference field="6" count="1" selected="0">
            <x v="1"/>
          </reference>
        </references>
      </pivotArea>
    </chartFormat>
    <chartFormat chart="2" format="115">
      <pivotArea type="data" outline="0" fieldPosition="0">
        <references count="3">
          <reference field="4294967294" count="1" selected="0">
            <x v="0"/>
          </reference>
          <reference field="0" count="1" selected="0">
            <x v="435"/>
          </reference>
          <reference field="6" count="1" selected="0">
            <x v="1"/>
          </reference>
        </references>
      </pivotArea>
    </chartFormat>
    <chartFormat chart="2" format="116">
      <pivotArea type="data" outline="0" fieldPosition="0">
        <references count="3">
          <reference field="4294967294" count="1" selected="0">
            <x v="0"/>
          </reference>
          <reference field="0" count="1" selected="0">
            <x v="442"/>
          </reference>
          <reference field="6" count="1" selected="0">
            <x v="1"/>
          </reference>
        </references>
      </pivotArea>
    </chartFormat>
    <chartFormat chart="2" format="117">
      <pivotArea type="data" outline="0" fieldPosition="0">
        <references count="3">
          <reference field="4294967294" count="1" selected="0">
            <x v="0"/>
          </reference>
          <reference field="0" count="1" selected="0">
            <x v="443"/>
          </reference>
          <reference field="6" count="1" selected="0">
            <x v="1"/>
          </reference>
        </references>
      </pivotArea>
    </chartFormat>
    <chartFormat chart="2" format="118">
      <pivotArea type="data" outline="0" fieldPosition="0">
        <references count="3">
          <reference field="4294967294" count="1" selected="0">
            <x v="0"/>
          </reference>
          <reference field="0" count="1" selected="0">
            <x v="444"/>
          </reference>
          <reference field="6" count="1" selected="0">
            <x v="1"/>
          </reference>
        </references>
      </pivotArea>
    </chartFormat>
    <chartFormat chart="2" format="119">
      <pivotArea type="data" outline="0" fieldPosition="0">
        <references count="3">
          <reference field="4294967294" count="1" selected="0">
            <x v="0"/>
          </reference>
          <reference field="0" count="1" selected="0">
            <x v="445"/>
          </reference>
          <reference field="6" count="1" selected="0">
            <x v="1"/>
          </reference>
        </references>
      </pivotArea>
    </chartFormat>
    <chartFormat chart="2" format="120">
      <pivotArea type="data" outline="0" fieldPosition="0">
        <references count="3">
          <reference field="4294967294" count="1" selected="0">
            <x v="0"/>
          </reference>
          <reference field="0" count="1" selected="0">
            <x v="450"/>
          </reference>
          <reference field="6" count="1" selected="0">
            <x v="1"/>
          </reference>
        </references>
      </pivotArea>
    </chartFormat>
    <chartFormat chart="2" format="121">
      <pivotArea type="data" outline="0" fieldPosition="0">
        <references count="3">
          <reference field="4294967294" count="1" selected="0">
            <x v="0"/>
          </reference>
          <reference field="0" count="1" selected="0">
            <x v="454"/>
          </reference>
          <reference field="6" count="1" selected="0">
            <x v="1"/>
          </reference>
        </references>
      </pivotArea>
    </chartFormat>
    <chartFormat chart="2" format="122">
      <pivotArea type="data" outline="0" fieldPosition="0">
        <references count="3">
          <reference field="4294967294" count="1" selected="0">
            <x v="0"/>
          </reference>
          <reference field="0" count="1" selected="0">
            <x v="455"/>
          </reference>
          <reference field="6" count="1" selected="0">
            <x v="1"/>
          </reference>
        </references>
      </pivotArea>
    </chartFormat>
    <chartFormat chart="2" format="123">
      <pivotArea type="data" outline="0" fieldPosition="0">
        <references count="3">
          <reference field="4294967294" count="1" selected="0">
            <x v="0"/>
          </reference>
          <reference field="0" count="1" selected="0">
            <x v="456"/>
          </reference>
          <reference field="6" count="1" selected="0">
            <x v="1"/>
          </reference>
        </references>
      </pivotArea>
    </chartFormat>
    <chartFormat chart="2" format="124">
      <pivotArea type="data" outline="0" fieldPosition="0">
        <references count="3">
          <reference field="4294967294" count="1" selected="0">
            <x v="0"/>
          </reference>
          <reference field="0" count="1" selected="0">
            <x v="460"/>
          </reference>
          <reference field="6" count="1" selected="0">
            <x v="1"/>
          </reference>
        </references>
      </pivotArea>
    </chartFormat>
    <chartFormat chart="2" format="125">
      <pivotArea type="data" outline="0" fieldPosition="0">
        <references count="3">
          <reference field="4294967294" count="1" selected="0">
            <x v="0"/>
          </reference>
          <reference field="0" count="1" selected="0">
            <x v="461"/>
          </reference>
          <reference field="6" count="1" selected="0">
            <x v="1"/>
          </reference>
        </references>
      </pivotArea>
    </chartFormat>
    <chartFormat chart="2" format="126">
      <pivotArea type="data" outline="0" fieldPosition="0">
        <references count="3">
          <reference field="4294967294" count="1" selected="0">
            <x v="0"/>
          </reference>
          <reference field="0" count="1" selected="0">
            <x v="463"/>
          </reference>
          <reference field="6" count="1" selected="0">
            <x v="1"/>
          </reference>
        </references>
      </pivotArea>
    </chartFormat>
    <chartFormat chart="2" format="127">
      <pivotArea type="data" outline="0" fieldPosition="0">
        <references count="3">
          <reference field="4294967294" count="1" selected="0">
            <x v="0"/>
          </reference>
          <reference field="0" count="1" selected="0">
            <x v="476"/>
          </reference>
          <reference field="6" count="1" selected="0">
            <x v="1"/>
          </reference>
        </references>
      </pivotArea>
    </chartFormat>
    <chartFormat chart="2" format="128">
      <pivotArea type="data" outline="0" fieldPosition="0">
        <references count="3">
          <reference field="4294967294" count="1" selected="0">
            <x v="0"/>
          </reference>
          <reference field="0" count="1" selected="0">
            <x v="478"/>
          </reference>
          <reference field="6" count="1" selected="0">
            <x v="1"/>
          </reference>
        </references>
      </pivotArea>
    </chartFormat>
    <chartFormat chart="2" format="129">
      <pivotArea type="data" outline="0" fieldPosition="0">
        <references count="3">
          <reference field="4294967294" count="1" selected="0">
            <x v="0"/>
          </reference>
          <reference field="0" count="1" selected="0">
            <x v="479"/>
          </reference>
          <reference field="6" count="1" selected="0">
            <x v="1"/>
          </reference>
        </references>
      </pivotArea>
    </chartFormat>
    <chartFormat chart="2" format="130">
      <pivotArea type="data" outline="0" fieldPosition="0">
        <references count="3">
          <reference field="4294967294" count="1" selected="0">
            <x v="0"/>
          </reference>
          <reference field="0" count="1" selected="0">
            <x v="482"/>
          </reference>
          <reference field="6" count="1" selected="0">
            <x v="1"/>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3FFF8B5D-43FD-4DE7-8F56-D368FADFE3C1}" autoFormatId="16" applyNumberFormats="0" applyBorderFormats="0" applyFontFormats="0" applyPatternFormats="0" applyAlignmentFormats="0" applyWidthHeightFormats="0">
  <queryTableRefresh nextId="13" unboundColumnsRight="4">
    <queryTableFields count="11">
      <queryTableField id="1" name="Coin Name" tableColumnId="1"/>
      <queryTableField id="2" name="Symbol" tableColumnId="2"/>
      <queryTableField id="3" name="Price (USD)" tableColumnId="3"/>
      <queryTableField id="4" name="1h Change (%)" tableColumnId="4"/>
      <queryTableField id="5" name="24h Change (%)" tableColumnId="5"/>
      <queryTableField id="6" name="7d Change (%)" tableColumnId="6"/>
      <queryTableField id="7" name="Market Cap" tableColumnId="7"/>
      <queryTableField id="8" dataBound="0" tableColumnId="8"/>
      <queryTableField id="9" dataBound="0" tableColumnId="9"/>
      <queryTableField id="11" dataBound="0" tableColumnId="11"/>
      <queryTableField id="12" dataBound="0"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in_Name" xr10:uid="{181A62A9-0441-4AF9-A45D-0EE2DC4699C4}" sourceName="Coin Name">
  <pivotTables>
    <pivotTable tabId="7" name="PivotTable1"/>
  </pivotTables>
  <data>
    <tabular pivotCacheId="2013185712">
      <items count="155">
        <i x="64" s="1"/>
        <i x="82" s="1"/>
        <i x="37" s="1"/>
        <i x="1" s="1"/>
        <i x="19" s="1"/>
        <i x="4" s="1"/>
        <i x="91" s="1"/>
        <i x="35" s="1"/>
        <i x="74" s="1"/>
        <i x="21" s="1"/>
        <i x="0" s="1"/>
        <i x="89" s="1"/>
        <i x="66" s="1"/>
        <i x="88" s="1"/>
        <i x="10" s="1"/>
        <i x="61" s="1"/>
        <i x="2" s="1"/>
        <i x="53" s="1"/>
        <i x="23" s="1"/>
        <i x="46" s="1"/>
        <i x="24" s="1"/>
        <i x="43" s="1"/>
        <i x="42" s="1"/>
        <i x="76" s="1"/>
        <i x="49" s="1"/>
        <i x="32" s="1"/>
        <i x="57" s="1"/>
        <i x="95" s="1"/>
        <i x="12" s="1"/>
        <i x="62" s="1"/>
        <i x="79" s="1"/>
        <i x="20" s="1"/>
        <i x="41" s="1"/>
        <i x="6" s="1"/>
        <i x="90" s="1"/>
        <i x="13" s="1"/>
        <i x="27" s="1"/>
        <i x="146" s="1" nd="1"/>
        <i x="18" s="1" nd="1"/>
        <i x="50" s="1" nd="1"/>
        <i x="69" s="1" nd="1"/>
        <i x="72" s="1" nd="1"/>
        <i x="85" s="1" nd="1"/>
        <i x="147" s="1" nd="1"/>
        <i x="87" s="1" nd="1"/>
        <i x="58" s="1" nd="1"/>
        <i x="148" s="1" nd="1"/>
        <i x="127" s="1" nd="1"/>
        <i x="48" s="1" nd="1"/>
        <i x="115" s="1" nd="1"/>
        <i x="104" s="1" nd="1"/>
        <i x="122" s="1" nd="1"/>
        <i x="140" s="1" nd="1"/>
        <i x="14" s="1" nd="1"/>
        <i x="101" s="1" nd="1"/>
        <i x="16" s="1" nd="1"/>
        <i x="44" s="1" nd="1"/>
        <i x="55" s="1" nd="1"/>
        <i x="112" s="1" nd="1"/>
        <i x="56" s="1" nd="1"/>
        <i x="15" s="1" nd="1"/>
        <i x="118" s="1" nd="1"/>
        <i x="51" s="1" nd="1"/>
        <i x="125" s="1" nd="1"/>
        <i x="28" s="1" nd="1"/>
        <i x="139" s="1" nd="1"/>
        <i x="22" s="1" nd="1"/>
        <i x="153" s="1" nd="1"/>
        <i x="123" s="1" nd="1"/>
        <i x="34" s="1" nd="1"/>
        <i x="103" s="1" nd="1"/>
        <i x="130" s="1" nd="1"/>
        <i x="141" s="1" nd="1"/>
        <i x="38" s="1" nd="1"/>
        <i x="154" s="1" nd="1"/>
        <i x="81" s="1" nd="1"/>
        <i x="59" s="1" nd="1"/>
        <i x="29" s="1" nd="1"/>
        <i x="128" s="1" nd="1"/>
        <i x="33" s="1" nd="1"/>
        <i x="52" s="1" nd="1"/>
        <i x="9" s="1" nd="1"/>
        <i x="80" s="1" nd="1"/>
        <i x="71" s="1" nd="1"/>
        <i x="96" s="1" nd="1"/>
        <i x="135" s="1" nd="1"/>
        <i x="94" s="1" nd="1"/>
        <i x="68" s="1" nd="1"/>
        <i x="145" s="1" nd="1"/>
        <i x="36" s="1" nd="1"/>
        <i x="105" s="1" nd="1"/>
        <i x="129" s="1" nd="1"/>
        <i x="54" s="1" nd="1"/>
        <i x="31" s="1" nd="1"/>
        <i x="113" s="1" nd="1"/>
        <i x="133" s="1" nd="1"/>
        <i x="86" s="1" nd="1"/>
        <i x="78" s="1" nd="1"/>
        <i x="67" s="1" nd="1"/>
        <i x="75" s="1" nd="1"/>
        <i x="143" s="1" nd="1"/>
        <i x="45" s="1" nd="1"/>
        <i x="25" s="1" nd="1"/>
        <i x="126" s="1" nd="1"/>
        <i x="117" s="1" nd="1"/>
        <i x="151" s="1" nd="1"/>
        <i x="70" s="1" nd="1"/>
        <i x="107" s="1" nd="1"/>
        <i x="97" s="1" nd="1"/>
        <i x="124" s="1" nd="1"/>
        <i x="77" s="1" nd="1"/>
        <i x="116" s="1" nd="1"/>
        <i x="92" s="1" nd="1"/>
        <i x="131" s="1" nd="1"/>
        <i x="26" s="1" nd="1"/>
        <i x="108" s="1" nd="1"/>
        <i x="30" s="1" nd="1"/>
        <i x="47" s="1" nd="1"/>
        <i x="65" s="1" nd="1"/>
        <i x="150" s="1" nd="1"/>
        <i x="98" s="1" nd="1"/>
        <i x="7" s="1" nd="1"/>
        <i x="40" s="1" nd="1"/>
        <i x="17" s="1" nd="1"/>
        <i x="136" s="1" nd="1"/>
        <i x="134" s="1" nd="1"/>
        <i x="138" s="1" nd="1"/>
        <i x="93" s="1" nd="1"/>
        <i x="144" s="1" nd="1"/>
        <i x="73" s="1" nd="1"/>
        <i x="102" s="1" nd="1"/>
        <i x="142" s="1" nd="1"/>
        <i x="119" s="1" nd="1"/>
        <i x="39" s="1" nd="1"/>
        <i x="3" s="1" nd="1"/>
        <i x="63" s="1" nd="1"/>
        <i x="60" s="1" nd="1"/>
        <i x="8" s="1" nd="1"/>
        <i x="137" s="1" nd="1"/>
        <i x="106" s="1" nd="1"/>
        <i x="149" s="1" nd="1"/>
        <i x="11" s="1" nd="1"/>
        <i x="100" s="1" nd="1"/>
        <i x="5" s="1" nd="1"/>
        <i x="109" s="1" nd="1"/>
        <i x="99" s="1" nd="1"/>
        <i x="121" s="1" nd="1"/>
        <i x="111" s="1" nd="1"/>
        <i x="120" s="1" nd="1"/>
        <i x="83" s="1" nd="1"/>
        <i x="110" s="1" nd="1"/>
        <i x="152" s="1" nd="1"/>
        <i x="84" s="1" nd="1"/>
        <i x="132" s="1" nd="1"/>
        <i x="11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lid_Coin" xr10:uid="{4E5C231C-4D73-4E0E-8C01-FC0302FDDED5}" sourceName="Valid Coin">
  <pivotTables>
    <pivotTable tabId="7" name="PivotTable1"/>
  </pivotTables>
  <data>
    <tabular pivotCacheId="2013185712">
      <items count="2">
        <i x="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 xr10:uid="{6EC81B35-659D-44ED-9996-80DD1B15F2DD}" sourceName="Price Category">
  <pivotTables>
    <pivotTable tabId="14" name="PivotTable1"/>
  </pivotTables>
  <data>
    <tabular pivotCacheId="684665604">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 xr10:uid="{BDAEC3D2-46B7-4331-B60A-F31E15AAE5CC}" sourceName="Price Range">
  <pivotTables>
    <pivotTable tabId="17" name="PivotTable1"/>
  </pivotTables>
  <data>
    <tabular pivotCacheId="1276254567">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1" xr10:uid="{8351FC5D-FDFA-4865-8080-AF1765BEC296}" sourceName="Price Range">
  <pivotTables>
    <pivotTable tabId="25" name="PivotTable5"/>
    <pivotTable tabId="25" name="PivotTable9"/>
  </pivotTables>
  <data>
    <tabular pivotCacheId="1446724777">
      <items count="5">
        <i x="4" s="1"/>
        <i x="2" s="1"/>
        <i x="1" s="1"/>
        <i x="3"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2" xr10:uid="{B0002E77-6A7C-45E7-A09B-91CE4C289EFD}" sourceName="Price Range">
  <pivotTables>
    <pivotTable tabId="21" name="PivotTable2"/>
  </pivotTables>
  <data>
    <tabular pivotCacheId="1446724777">
      <items count="5">
        <i x="4" s="1"/>
        <i x="2" s="1"/>
        <i x="1" s="1"/>
        <i x="3"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in Name" xr10:uid="{D49EF825-8CBA-4239-ADD6-C992AD9ECB55}" cache="Slicer_Coin_Name" caption="Coin Name" startItem="26" columnCount="2" showCaption="0" rowHeight="504000"/>
  <slicer name="Valid Coin" xr10:uid="{3E8A17D8-2635-4612-A837-7331358C5BC2}" cache="Slicer_Valid_Coin" caption="Valid Coin" rowHeight="43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xr10:uid="{2BE98357-504E-4530-9AF4-9232B2C3E105}" cache="Slicer_Price_Category" caption="Price Category"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 xr10:uid="{3E8A86E7-9D32-4AC8-922F-FCDCEF87F30A}" cache="Slicer_Price_Range" caption="Price Range" style="Slicer Style 1" rowHeight="12240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 2" xr10:uid="{34DF1BCB-D6CF-4AE0-80ED-D4108B5E881D}" cache="Slicer_Price_Range2" caption="Price Range" columnCount="2" rowHeight="1800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 1" xr10:uid="{65AB4C0B-E73B-4C5F-8642-B3D430A67748}" cache="Slicer_Price_Range1" caption="Price Range" columnCount="2" rowHeight="28800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7CD3616-0DE3-46B2-B79A-B39379BC0D05}" name="Data" displayName="Data" ref="A1:K283" totalsRowShown="0">
  <autoFilter ref="A1:K283" xr:uid="{97CD3616-0DE3-46B2-B79A-B39379BC0D05}"/>
  <tableColumns count="11">
    <tableColumn id="1" xr3:uid="{367293D2-347B-4F11-AE82-220CDD847554}" name="Coin Name" dataDxfId="240"/>
    <tableColumn id="2" xr3:uid="{CB0C9B03-637A-4146-8E4D-F0C08632F779}" name="Symbol" dataDxfId="239"/>
    <tableColumn id="3" xr3:uid="{60A842B1-6A14-4A80-8E6E-081B0759EC82}" name="Price (USD)"/>
    <tableColumn id="4" xr3:uid="{42F1E7C9-0939-40F0-AA70-B722BB58DE67}" name="1h Change (%)"/>
    <tableColumn id="5" xr3:uid="{05F89152-5310-46F3-BCB1-F188E67DC033}" name="Market Cap"/>
    <tableColumn id="6" xr3:uid="{3920BE56-9264-42C8-9A72-25DD7A870C0E}" name="Volume (24h) USD"/>
    <tableColumn id="7" xr3:uid="{1C1EAEDF-696D-44AF-91C2-5ED3B64D4B70}" name="Valid Coin" dataDxfId="238"/>
    <tableColumn id="8" xr3:uid="{603BDFC2-A64A-4792-B49A-0EA5C25CA1B3}" name="Circulating_Supply($)"/>
    <tableColumn id="9" xr3:uid="{E4C21B64-E49A-459E-BFE8-A938B3C94FFD}" name="Previous Price" dataDxfId="237">
      <calculatedColumnFormula>C2/(1+D2)</calculatedColumnFormula>
    </tableColumn>
    <tableColumn id="10" xr3:uid="{94F3EDEE-6236-483D-B9FC-FBD2784E781E}" name="Price Change" dataDxfId="236">
      <calculatedColumnFormula>C2-I2</calculatedColumnFormula>
    </tableColumn>
    <tableColumn id="11" xr3:uid="{5E78B3B1-1974-4761-9BD6-1057D50D4AB9}" name="Price Range" dataDxfId="235">
      <calculatedColumnFormula>IF(C2&lt;10,"Up to $10","&gt;= $10")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7B0D30D-0310-483B-9422-1F00CA24F357}" name="Data4" displayName="Data4" ref="A1:I283" totalsRowShown="0">
  <autoFilter ref="A1:I283" xr:uid="{B7B0D30D-0310-483B-9422-1F00CA24F357}"/>
  <tableColumns count="9">
    <tableColumn id="1" xr3:uid="{8EE63652-5764-4640-94A0-49BB82535149}" name="Coin Name" dataDxfId="234"/>
    <tableColumn id="2" xr3:uid="{36F4A3E5-00DA-4408-B82C-67A48799F84E}" name="Symbol" dataDxfId="233"/>
    <tableColumn id="3" xr3:uid="{EE098408-0FE5-4025-9331-4777FB0D0549}" name="Price (USD)"/>
    <tableColumn id="4" xr3:uid="{D9A8107D-D156-4348-84A6-4708160AF9BE}" name="1h Change (%)"/>
    <tableColumn id="5" xr3:uid="{A202721B-5A80-4446-90F8-CECB3FBD9AAB}" name="Market Cap"/>
    <tableColumn id="6" xr3:uid="{F1308365-8169-4271-98F0-5847AA5122FA}" name="Volume (24h) USD"/>
    <tableColumn id="7" xr3:uid="{9D9644A1-8327-479F-87F1-A596F23DE835}" name="Valid Coin" dataDxfId="232"/>
    <tableColumn id="8" xr3:uid="{350CCBC5-DADA-423E-BB26-8C01D818C035}" name="Circulating_Supply($)"/>
    <tableColumn id="10" xr3:uid="{2EEFE3A2-D9BC-45D2-8B0E-AD236C198A00}" name="Price Category" dataDxfId="231">
      <calculatedColumnFormula>IF(C2&lt;=50,"$0-$50","Above $50")</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D1CA87A-4FB3-4C58-BF09-5D67BF8F0AF0}" name="Sheet1__2" displayName="Sheet1__2" ref="A1:K301" tableType="queryTable" totalsRowShown="0">
  <autoFilter ref="A1:K301" xr:uid="{AD1CA87A-4FB3-4C58-BF09-5D67BF8F0AF0}"/>
  <tableColumns count="11">
    <tableColumn id="1" xr3:uid="{448FD450-D41A-485E-879D-9B627A9502C0}" uniqueName="1" name="Coin Name" queryTableFieldId="1" dataDxfId="230"/>
    <tableColumn id="2" xr3:uid="{322FCFD1-5B7C-4812-B975-190B892158AA}" uniqueName="2" name="Symbol" queryTableFieldId="2" dataDxfId="229"/>
    <tableColumn id="3" xr3:uid="{AF6F5155-4CB9-4A5E-8BEA-75F0C6FDC362}" uniqueName="3" name="Price (USD)" queryTableFieldId="3"/>
    <tableColumn id="4" xr3:uid="{4D039781-1FD4-436C-B06B-00C9DBEA4108}" uniqueName="4" name="1h Change (%)" queryTableFieldId="4"/>
    <tableColumn id="5" xr3:uid="{A0814B5C-951A-4AA1-83AA-3846C7C5A980}" uniqueName="5" name="24h Change (%)" queryTableFieldId="5"/>
    <tableColumn id="6" xr3:uid="{FC82473B-A82C-46CA-8F98-FAD87956E0C2}" uniqueName="6" name="7d Change (%)" queryTableFieldId="6"/>
    <tableColumn id="7" xr3:uid="{E856F26A-A924-4663-9F67-E23A2C35D561}" uniqueName="7" name="Market Cap" queryTableFieldId="7"/>
    <tableColumn id="8" xr3:uid="{F930DC5A-E966-4EE4-97CC-E2034B820331}" uniqueName="8" name="24h Price" queryTableFieldId="8" dataDxfId="228">
      <calculatedColumnFormula>C2/(1-E2)</calculatedColumnFormula>
    </tableColumn>
    <tableColumn id="9" xr3:uid="{DC84BC6B-2A72-43E0-B48D-FE76F7FCDCEB}" uniqueName="9" name="7d Price" queryTableFieldId="9" dataDxfId="227">
      <calculatedColumnFormula>C2/(1+F2)</calculatedColumnFormula>
    </tableColumn>
    <tableColumn id="11" xr3:uid="{23768757-4151-4D2D-8194-943F41B42BE2}" uniqueName="11" name="Average Downfall %" queryTableFieldId="11" dataDxfId="226">
      <calculatedColumnFormula>AVERAGE(D2,E2,F2)</calculatedColumnFormula>
    </tableColumn>
    <tableColumn id="12" xr3:uid="{A4D9C401-03A6-40EB-94E8-ADFA1A9AD482}" uniqueName="12" name="Price Range" queryTableFieldId="12" dataDxfId="225">
      <calculatedColumnFormula>IF(C2&lt;=0.05,"$0-$0.05",
IF(C2&lt;=0.5,"$0.05-$0.5",
IF(C2&lt;=5,"$0.5-$5",
IF(C2&lt;=50,"$5-$50",
"&gt;$50"))))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microsoft.com/office/2007/relationships/slicer" Target="../slicers/slicer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6A54D-46FD-4068-A21D-AB4D2674C0B0}">
  <sheetPr codeName="Sheet1"/>
  <dimension ref="A1:CC285"/>
  <sheetViews>
    <sheetView showGridLines="0" tabSelected="1" zoomScale="29" zoomScaleNormal="62" workbookViewId="0">
      <selection activeCell="X14" sqref="X14"/>
    </sheetView>
  </sheetViews>
  <sheetFormatPr defaultRowHeight="14.5" x14ac:dyDescent="0.35"/>
  <cols>
    <col min="1" max="1" width="18.453125" style="52" customWidth="1"/>
    <col min="2" max="2" width="14.7265625" style="52" bestFit="1" customWidth="1"/>
    <col min="3" max="3" width="17.7265625" style="52" bestFit="1" customWidth="1"/>
    <col min="4" max="4" width="20.453125" style="52" bestFit="1" customWidth="1"/>
    <col min="5" max="5" width="18.26953125" style="52" bestFit="1" customWidth="1"/>
    <col min="6" max="6" width="24" style="52" bestFit="1" customWidth="1"/>
    <col min="7" max="7" width="16.81640625" style="52" bestFit="1" customWidth="1"/>
    <col min="8" max="19" width="16.54296875" style="52" customWidth="1"/>
    <col min="20" max="20" width="25.90625" style="52" customWidth="1"/>
    <col min="21" max="24" width="8.7265625" style="52"/>
    <col min="25" max="25" width="6.7265625" style="52" customWidth="1"/>
    <col min="26" max="26" width="8.7265625" style="52" hidden="1" customWidth="1"/>
    <col min="27" max="27" width="6.08984375" style="52" hidden="1" customWidth="1"/>
    <col min="28" max="16384" width="8.7265625" style="52"/>
  </cols>
  <sheetData>
    <row r="1" spans="8:20" ht="15" thickBot="1" x14ac:dyDescent="0.4"/>
    <row r="2" spans="8:20" ht="80.5" thickTop="1" x14ac:dyDescent="1.75">
      <c r="H2" s="110"/>
      <c r="I2" s="111"/>
      <c r="J2" s="125" t="s">
        <v>153</v>
      </c>
      <c r="K2" s="111"/>
      <c r="L2" s="112"/>
      <c r="M2" s="111"/>
      <c r="N2" s="113"/>
      <c r="O2" s="114"/>
      <c r="P2" s="111"/>
      <c r="Q2" s="111"/>
      <c r="R2" s="111"/>
      <c r="S2" s="111"/>
      <c r="T2" s="115"/>
    </row>
    <row r="3" spans="8:20" ht="31" x14ac:dyDescent="0.7">
      <c r="H3" s="116"/>
      <c r="I3" s="117"/>
      <c r="J3" s="117"/>
      <c r="K3" s="117"/>
      <c r="L3" s="117"/>
      <c r="M3" s="117"/>
      <c r="N3" s="118" t="s">
        <v>154</v>
      </c>
      <c r="O3" s="119" t="str">
        <f ca="1">TEXT(NOW(),"hh:mm AM/PM")</f>
        <v>01:07 PM</v>
      </c>
      <c r="P3" s="117"/>
      <c r="Q3" s="117"/>
      <c r="R3" s="117"/>
      <c r="S3" s="117"/>
      <c r="T3" s="120"/>
    </row>
    <row r="4" spans="8:20" x14ac:dyDescent="0.35">
      <c r="H4" s="116"/>
      <c r="I4" s="117"/>
      <c r="J4" s="117"/>
      <c r="K4" s="117"/>
      <c r="L4" s="117"/>
      <c r="M4" s="117"/>
      <c r="N4" s="117"/>
      <c r="O4" s="117"/>
      <c r="P4" s="117"/>
      <c r="Q4" s="117"/>
      <c r="R4" s="117"/>
      <c r="S4" s="117"/>
      <c r="T4" s="120"/>
    </row>
    <row r="5" spans="8:20" x14ac:dyDescent="0.35">
      <c r="H5" s="116"/>
      <c r="I5" s="117"/>
      <c r="J5" s="117"/>
      <c r="K5" s="117"/>
      <c r="L5" s="117"/>
      <c r="M5" s="117"/>
      <c r="N5" s="117"/>
      <c r="O5" s="117"/>
      <c r="P5" s="117"/>
      <c r="Q5" s="117"/>
      <c r="R5" s="117"/>
      <c r="S5" s="117"/>
      <c r="T5" s="120"/>
    </row>
    <row r="6" spans="8:20" x14ac:dyDescent="0.35">
      <c r="H6" s="116"/>
      <c r="I6" s="117"/>
      <c r="J6" s="117"/>
      <c r="K6" s="117"/>
      <c r="L6" s="117"/>
      <c r="M6" s="117"/>
      <c r="N6" s="117"/>
      <c r="O6" s="117"/>
      <c r="P6" s="117"/>
      <c r="Q6" s="117"/>
      <c r="R6" s="117"/>
      <c r="S6" s="117"/>
      <c r="T6" s="120"/>
    </row>
    <row r="7" spans="8:20" x14ac:dyDescent="0.35">
      <c r="H7" s="116"/>
      <c r="I7" s="117"/>
      <c r="J7" s="117"/>
      <c r="K7" s="117"/>
      <c r="L7" s="117"/>
      <c r="M7" s="117"/>
      <c r="N7" s="117"/>
      <c r="O7" s="117"/>
      <c r="P7" s="117"/>
      <c r="Q7" s="117"/>
      <c r="R7" s="117"/>
      <c r="S7" s="117"/>
      <c r="T7" s="120"/>
    </row>
    <row r="8" spans="8:20" x14ac:dyDescent="0.35">
      <c r="H8" s="116"/>
      <c r="I8" s="117"/>
      <c r="J8" s="117"/>
      <c r="K8" s="117"/>
      <c r="L8" s="117"/>
      <c r="M8" s="117"/>
      <c r="N8" s="117"/>
      <c r="O8" s="117"/>
      <c r="P8" s="117"/>
      <c r="Q8" s="117"/>
      <c r="R8" s="117"/>
      <c r="S8" s="117"/>
      <c r="T8" s="120"/>
    </row>
    <row r="9" spans="8:20" x14ac:dyDescent="0.35">
      <c r="H9" s="116"/>
      <c r="I9" s="117"/>
      <c r="J9" s="117"/>
      <c r="K9" s="117"/>
      <c r="L9" s="117"/>
      <c r="M9" s="117"/>
      <c r="N9" s="117"/>
      <c r="O9" s="117"/>
      <c r="P9" s="117"/>
      <c r="Q9" s="117"/>
      <c r="R9" s="117"/>
      <c r="S9" s="117"/>
      <c r="T9" s="120"/>
    </row>
    <row r="10" spans="8:20" x14ac:dyDescent="0.35">
      <c r="H10" s="116"/>
      <c r="I10" s="117"/>
      <c r="J10" s="117"/>
      <c r="K10" s="117"/>
      <c r="L10" s="117"/>
      <c r="M10" s="117"/>
      <c r="N10" s="117"/>
      <c r="O10" s="117"/>
      <c r="P10" s="117"/>
      <c r="Q10" s="117"/>
      <c r="R10" s="117"/>
      <c r="S10" s="117"/>
      <c r="T10" s="120"/>
    </row>
    <row r="11" spans="8:20" x14ac:dyDescent="0.35">
      <c r="H11" s="116"/>
      <c r="I11" s="117"/>
      <c r="J11" s="117"/>
      <c r="K11" s="117"/>
      <c r="L11" s="117"/>
      <c r="M11" s="117"/>
      <c r="N11" s="117"/>
      <c r="O11" s="117"/>
      <c r="P11" s="117"/>
      <c r="Q11" s="117"/>
      <c r="R11" s="117"/>
      <c r="S11" s="117"/>
      <c r="T11" s="120"/>
    </row>
    <row r="12" spans="8:20" x14ac:dyDescent="0.35">
      <c r="H12" s="116"/>
      <c r="I12" s="117"/>
      <c r="J12" s="117"/>
      <c r="K12" s="117"/>
      <c r="L12" s="117"/>
      <c r="M12" s="117"/>
      <c r="N12" s="117"/>
      <c r="O12" s="117"/>
      <c r="P12" s="117"/>
      <c r="Q12" s="117"/>
      <c r="R12" s="117"/>
      <c r="S12" s="117"/>
      <c r="T12" s="120"/>
    </row>
    <row r="13" spans="8:20" x14ac:dyDescent="0.35">
      <c r="H13" s="116"/>
      <c r="I13" s="117"/>
      <c r="J13" s="117"/>
      <c r="K13" s="117"/>
      <c r="L13" s="117"/>
      <c r="M13" s="117"/>
      <c r="N13" s="117"/>
      <c r="O13" s="117"/>
      <c r="P13" s="117"/>
      <c r="Q13" s="117"/>
      <c r="R13" s="117"/>
      <c r="S13" s="117"/>
      <c r="T13" s="120"/>
    </row>
    <row r="14" spans="8:20" x14ac:dyDescent="0.35">
      <c r="H14" s="116"/>
      <c r="I14" s="117"/>
      <c r="J14" s="117"/>
      <c r="K14" s="117"/>
      <c r="L14" s="117"/>
      <c r="M14" s="117"/>
      <c r="N14" s="117"/>
      <c r="O14" s="117"/>
      <c r="P14" s="117"/>
      <c r="Q14" s="117"/>
      <c r="R14" s="117"/>
      <c r="S14" s="117"/>
      <c r="T14" s="120"/>
    </row>
    <row r="15" spans="8:20" x14ac:dyDescent="0.35">
      <c r="H15" s="116"/>
      <c r="I15" s="117"/>
      <c r="J15" s="117"/>
      <c r="K15" s="117"/>
      <c r="L15" s="117"/>
      <c r="M15" s="117"/>
      <c r="N15" s="117"/>
      <c r="O15" s="117"/>
      <c r="P15" s="117"/>
      <c r="Q15" s="117"/>
      <c r="R15" s="117"/>
      <c r="S15" s="117"/>
      <c r="T15" s="120"/>
    </row>
    <row r="16" spans="8:20" x14ac:dyDescent="0.35">
      <c r="H16" s="116"/>
      <c r="I16" s="117"/>
      <c r="J16" s="117"/>
      <c r="K16" s="117"/>
      <c r="L16" s="117"/>
      <c r="M16" s="117"/>
      <c r="N16" s="117"/>
      <c r="O16" s="117"/>
      <c r="P16" s="117"/>
      <c r="Q16" s="117"/>
      <c r="R16" s="117"/>
      <c r="S16" s="117"/>
      <c r="T16" s="120"/>
    </row>
    <row r="17" spans="8:20" x14ac:dyDescent="0.35">
      <c r="H17" s="116"/>
      <c r="I17" s="117"/>
      <c r="J17" s="117"/>
      <c r="K17" s="117"/>
      <c r="L17" s="117"/>
      <c r="M17" s="117"/>
      <c r="N17" s="117"/>
      <c r="O17" s="117"/>
      <c r="P17" s="117"/>
      <c r="Q17" s="117"/>
      <c r="R17" s="117"/>
      <c r="S17" s="117"/>
      <c r="T17" s="120"/>
    </row>
    <row r="18" spans="8:20" x14ac:dyDescent="0.35">
      <c r="H18" s="116"/>
      <c r="I18" s="117"/>
      <c r="J18" s="117"/>
      <c r="K18" s="117"/>
      <c r="L18" s="117"/>
      <c r="M18" s="117"/>
      <c r="N18" s="117"/>
      <c r="O18" s="117"/>
      <c r="P18" s="117"/>
      <c r="Q18" s="117"/>
      <c r="R18" s="117"/>
      <c r="S18" s="117"/>
      <c r="T18" s="120"/>
    </row>
    <row r="19" spans="8:20" x14ac:dyDescent="0.35">
      <c r="H19" s="116"/>
      <c r="I19" s="117"/>
      <c r="J19" s="117"/>
      <c r="K19" s="117"/>
      <c r="L19" s="117"/>
      <c r="M19" s="117"/>
      <c r="N19" s="117"/>
      <c r="O19" s="117"/>
      <c r="P19" s="117"/>
      <c r="Q19" s="117"/>
      <c r="R19" s="117"/>
      <c r="S19" s="117"/>
      <c r="T19" s="120"/>
    </row>
    <row r="20" spans="8:20" x14ac:dyDescent="0.35">
      <c r="H20" s="116"/>
      <c r="I20" s="117"/>
      <c r="J20" s="117"/>
      <c r="K20" s="117"/>
      <c r="L20" s="117"/>
      <c r="M20" s="117"/>
      <c r="N20" s="117"/>
      <c r="O20" s="117"/>
      <c r="P20" s="117"/>
      <c r="Q20" s="117"/>
      <c r="R20" s="117"/>
      <c r="S20" s="117"/>
      <c r="T20" s="120"/>
    </row>
    <row r="21" spans="8:20" x14ac:dyDescent="0.35">
      <c r="H21" s="116"/>
      <c r="I21" s="117"/>
      <c r="J21" s="117"/>
      <c r="K21" s="117"/>
      <c r="L21" s="117"/>
      <c r="M21" s="117"/>
      <c r="N21" s="117"/>
      <c r="O21" s="117"/>
      <c r="P21" s="117"/>
      <c r="Q21" s="117"/>
      <c r="R21" s="117"/>
      <c r="S21" s="117"/>
      <c r="T21" s="120"/>
    </row>
    <row r="22" spans="8:20" x14ac:dyDescent="0.35">
      <c r="H22" s="116"/>
      <c r="I22" s="117"/>
      <c r="J22" s="117"/>
      <c r="K22" s="117"/>
      <c r="L22" s="117"/>
      <c r="M22" s="117"/>
      <c r="N22" s="117"/>
      <c r="O22" s="117"/>
      <c r="P22" s="117"/>
      <c r="Q22" s="117"/>
      <c r="R22" s="117"/>
      <c r="S22" s="117"/>
      <c r="T22" s="120"/>
    </row>
    <row r="23" spans="8:20" x14ac:dyDescent="0.35">
      <c r="H23" s="116"/>
      <c r="I23" s="117"/>
      <c r="J23" s="117"/>
      <c r="K23" s="117"/>
      <c r="L23" s="117"/>
      <c r="M23" s="117"/>
      <c r="N23" s="117"/>
      <c r="O23" s="117"/>
      <c r="P23" s="117"/>
      <c r="Q23" s="117"/>
      <c r="R23" s="117"/>
      <c r="S23" s="117"/>
      <c r="T23" s="120"/>
    </row>
    <row r="24" spans="8:20" x14ac:dyDescent="0.35">
      <c r="H24" s="116"/>
      <c r="I24" s="117"/>
      <c r="J24" s="117"/>
      <c r="K24" s="117"/>
      <c r="L24" s="117"/>
      <c r="M24" s="117"/>
      <c r="N24" s="117"/>
      <c r="O24" s="117"/>
      <c r="P24" s="117"/>
      <c r="Q24" s="117"/>
      <c r="R24" s="117"/>
      <c r="S24" s="117"/>
      <c r="T24" s="120"/>
    </row>
    <row r="25" spans="8:20" x14ac:dyDescent="0.35">
      <c r="H25" s="116"/>
      <c r="I25" s="117"/>
      <c r="J25" s="117"/>
      <c r="K25" s="117"/>
      <c r="L25" s="117"/>
      <c r="M25" s="117"/>
      <c r="N25" s="117"/>
      <c r="O25" s="117"/>
      <c r="P25" s="117"/>
      <c r="Q25" s="117"/>
      <c r="R25" s="117"/>
      <c r="S25" s="117"/>
      <c r="T25" s="120"/>
    </row>
    <row r="26" spans="8:20" x14ac:dyDescent="0.35">
      <c r="H26" s="116"/>
      <c r="I26" s="117"/>
      <c r="J26" s="117"/>
      <c r="K26" s="117"/>
      <c r="L26" s="117"/>
      <c r="M26" s="117"/>
      <c r="N26" s="117"/>
      <c r="O26" s="117"/>
      <c r="P26" s="117"/>
      <c r="Q26" s="117"/>
      <c r="R26" s="117"/>
      <c r="S26" s="117"/>
      <c r="T26" s="120"/>
    </row>
    <row r="27" spans="8:20" x14ac:dyDescent="0.35">
      <c r="H27" s="116"/>
      <c r="I27" s="117"/>
      <c r="J27" s="117"/>
      <c r="K27" s="117"/>
      <c r="L27" s="117"/>
      <c r="M27" s="117"/>
      <c r="N27" s="117"/>
      <c r="O27" s="117"/>
      <c r="P27" s="117"/>
      <c r="Q27" s="117"/>
      <c r="R27" s="117"/>
      <c r="S27" s="117"/>
      <c r="T27" s="120"/>
    </row>
    <row r="28" spans="8:20" x14ac:dyDescent="0.35">
      <c r="H28" s="116"/>
      <c r="I28" s="117"/>
      <c r="J28" s="117"/>
      <c r="K28" s="117"/>
      <c r="L28" s="117"/>
      <c r="M28" s="117"/>
      <c r="N28" s="117"/>
      <c r="O28" s="117"/>
      <c r="P28" s="117"/>
      <c r="Q28" s="117"/>
      <c r="R28" s="117"/>
      <c r="S28" s="117"/>
      <c r="T28" s="120"/>
    </row>
    <row r="29" spans="8:20" x14ac:dyDescent="0.35">
      <c r="H29" s="116"/>
      <c r="I29" s="117"/>
      <c r="J29" s="117"/>
      <c r="K29" s="117"/>
      <c r="L29" s="117"/>
      <c r="M29" s="117"/>
      <c r="N29" s="117"/>
      <c r="O29" s="117"/>
      <c r="P29" s="117"/>
      <c r="Q29" s="117"/>
      <c r="R29" s="117"/>
      <c r="S29" s="117"/>
      <c r="T29" s="120"/>
    </row>
    <row r="30" spans="8:20" x14ac:dyDescent="0.35">
      <c r="H30" s="116"/>
      <c r="I30" s="117"/>
      <c r="J30" s="117"/>
      <c r="K30" s="117"/>
      <c r="L30" s="117"/>
      <c r="M30" s="117"/>
      <c r="N30" s="117"/>
      <c r="O30" s="117"/>
      <c r="P30" s="117"/>
      <c r="Q30" s="117"/>
      <c r="R30" s="117"/>
      <c r="S30" s="117"/>
      <c r="T30" s="120"/>
    </row>
    <row r="31" spans="8:20" x14ac:dyDescent="0.35">
      <c r="H31" s="116"/>
      <c r="I31" s="117"/>
      <c r="J31" s="117"/>
      <c r="K31" s="117"/>
      <c r="L31" s="117"/>
      <c r="M31" s="117"/>
      <c r="N31" s="117"/>
      <c r="O31" s="117"/>
      <c r="P31" s="117"/>
      <c r="Q31" s="117"/>
      <c r="R31" s="117"/>
      <c r="S31" s="117"/>
      <c r="T31" s="120"/>
    </row>
    <row r="32" spans="8:20" x14ac:dyDescent="0.35">
      <c r="H32" s="116"/>
      <c r="I32" s="117"/>
      <c r="J32" s="117"/>
      <c r="K32" s="117"/>
      <c r="L32" s="117"/>
      <c r="M32" s="117"/>
      <c r="N32" s="117"/>
      <c r="O32" s="117"/>
      <c r="P32" s="117"/>
      <c r="Q32" s="117"/>
      <c r="R32" s="117"/>
      <c r="S32" s="117"/>
      <c r="T32" s="120"/>
    </row>
    <row r="33" spans="8:20" x14ac:dyDescent="0.35">
      <c r="H33" s="116"/>
      <c r="I33" s="117"/>
      <c r="J33" s="117"/>
      <c r="K33" s="117"/>
      <c r="L33" s="117"/>
      <c r="M33" s="117"/>
      <c r="N33" s="117"/>
      <c r="O33" s="117"/>
      <c r="P33" s="117"/>
      <c r="Q33" s="117"/>
      <c r="R33" s="117"/>
      <c r="S33" s="117"/>
      <c r="T33" s="120"/>
    </row>
    <row r="34" spans="8:20" x14ac:dyDescent="0.35">
      <c r="H34" s="116"/>
      <c r="I34" s="117"/>
      <c r="J34" s="117"/>
      <c r="K34" s="117"/>
      <c r="L34" s="117"/>
      <c r="M34" s="117"/>
      <c r="N34" s="117"/>
      <c r="O34" s="117"/>
      <c r="P34" s="117"/>
      <c r="Q34" s="117"/>
      <c r="R34" s="117"/>
      <c r="S34" s="117"/>
      <c r="T34" s="120"/>
    </row>
    <row r="35" spans="8:20" x14ac:dyDescent="0.35">
      <c r="H35" s="116"/>
      <c r="I35" s="117"/>
      <c r="J35" s="117"/>
      <c r="K35" s="117"/>
      <c r="L35" s="117"/>
      <c r="M35" s="117"/>
      <c r="N35" s="117"/>
      <c r="O35" s="117"/>
      <c r="P35" s="117"/>
      <c r="Q35" s="117"/>
      <c r="R35" s="117"/>
      <c r="S35" s="117"/>
      <c r="T35" s="120"/>
    </row>
    <row r="36" spans="8:20" x14ac:dyDescent="0.35">
      <c r="H36" s="116"/>
      <c r="I36" s="117"/>
      <c r="J36" s="117"/>
      <c r="K36" s="117"/>
      <c r="L36" s="117"/>
      <c r="M36" s="117"/>
      <c r="N36" s="117"/>
      <c r="O36" s="117"/>
      <c r="P36" s="117"/>
      <c r="Q36" s="117"/>
      <c r="R36" s="117"/>
      <c r="S36" s="117"/>
      <c r="T36" s="120"/>
    </row>
    <row r="37" spans="8:20" x14ac:dyDescent="0.35">
      <c r="H37" s="116"/>
      <c r="I37" s="117"/>
      <c r="J37" s="117"/>
      <c r="K37" s="117"/>
      <c r="L37" s="117"/>
      <c r="M37" s="117"/>
      <c r="N37" s="117"/>
      <c r="O37" s="117"/>
      <c r="P37" s="117"/>
      <c r="Q37" s="117"/>
      <c r="R37" s="117"/>
      <c r="S37" s="117"/>
      <c r="T37" s="120"/>
    </row>
    <row r="38" spans="8:20" x14ac:dyDescent="0.35">
      <c r="H38" s="116"/>
      <c r="I38" s="117"/>
      <c r="J38" s="117"/>
      <c r="K38" s="117"/>
      <c r="L38" s="117"/>
      <c r="M38" s="117"/>
      <c r="N38" s="117"/>
      <c r="O38" s="117"/>
      <c r="P38" s="117"/>
      <c r="Q38" s="117"/>
      <c r="R38" s="117"/>
      <c r="S38" s="117"/>
      <c r="T38" s="120"/>
    </row>
    <row r="39" spans="8:20" x14ac:dyDescent="0.35">
      <c r="H39" s="116"/>
      <c r="I39" s="117"/>
      <c r="J39" s="117"/>
      <c r="K39" s="117"/>
      <c r="L39" s="117"/>
      <c r="M39" s="117"/>
      <c r="N39" s="117"/>
      <c r="O39" s="117"/>
      <c r="P39" s="117"/>
      <c r="Q39" s="117"/>
      <c r="R39" s="117"/>
      <c r="S39" s="117"/>
      <c r="T39" s="120"/>
    </row>
    <row r="40" spans="8:20" x14ac:dyDescent="0.35">
      <c r="H40" s="116"/>
      <c r="I40" s="117"/>
      <c r="J40" s="117"/>
      <c r="K40" s="117"/>
      <c r="L40" s="117"/>
      <c r="M40" s="117"/>
      <c r="N40" s="117"/>
      <c r="O40" s="117"/>
      <c r="P40" s="117"/>
      <c r="Q40" s="117"/>
      <c r="R40" s="117"/>
      <c r="S40" s="117"/>
      <c r="T40" s="120"/>
    </row>
    <row r="41" spans="8:20" x14ac:dyDescent="0.35">
      <c r="H41" s="116"/>
      <c r="I41" s="117"/>
      <c r="J41" s="117"/>
      <c r="K41" s="117"/>
      <c r="L41" s="117"/>
      <c r="M41" s="117"/>
      <c r="N41" s="117"/>
      <c r="O41" s="117"/>
      <c r="P41" s="117"/>
      <c r="Q41" s="117"/>
      <c r="R41" s="117"/>
      <c r="S41" s="117"/>
      <c r="T41" s="120"/>
    </row>
    <row r="42" spans="8:20" x14ac:dyDescent="0.35">
      <c r="H42" s="116"/>
      <c r="I42" s="117"/>
      <c r="J42" s="117"/>
      <c r="K42" s="117"/>
      <c r="L42" s="117"/>
      <c r="M42" s="117"/>
      <c r="N42" s="117"/>
      <c r="O42" s="117"/>
      <c r="P42" s="117"/>
      <c r="Q42" s="117"/>
      <c r="R42" s="117"/>
      <c r="S42" s="117"/>
      <c r="T42" s="120"/>
    </row>
    <row r="43" spans="8:20" x14ac:dyDescent="0.35">
      <c r="H43" s="116"/>
      <c r="I43" s="117"/>
      <c r="J43" s="117"/>
      <c r="K43" s="117"/>
      <c r="L43" s="117"/>
      <c r="M43" s="117"/>
      <c r="N43" s="117"/>
      <c r="O43" s="117"/>
      <c r="P43" s="117"/>
      <c r="Q43" s="117"/>
      <c r="R43" s="117"/>
      <c r="S43" s="117"/>
      <c r="T43" s="120"/>
    </row>
    <row r="44" spans="8:20" x14ac:dyDescent="0.35">
      <c r="H44" s="116"/>
      <c r="I44" s="117"/>
      <c r="J44" s="117"/>
      <c r="K44" s="117"/>
      <c r="L44" s="117"/>
      <c r="M44" s="117"/>
      <c r="N44" s="117"/>
      <c r="O44" s="117"/>
      <c r="P44" s="117"/>
      <c r="Q44" s="117"/>
      <c r="R44" s="117"/>
      <c r="S44" s="117"/>
      <c r="T44" s="120"/>
    </row>
    <row r="45" spans="8:20" x14ac:dyDescent="0.35">
      <c r="H45" s="116"/>
      <c r="I45" s="117"/>
      <c r="J45" s="117"/>
      <c r="K45" s="117"/>
      <c r="L45" s="117"/>
      <c r="M45" s="117"/>
      <c r="N45" s="117"/>
      <c r="O45" s="117"/>
      <c r="P45" s="117"/>
      <c r="Q45" s="117"/>
      <c r="R45" s="117"/>
      <c r="S45" s="117"/>
      <c r="T45" s="120"/>
    </row>
    <row r="46" spans="8:20" x14ac:dyDescent="0.35">
      <c r="H46" s="116"/>
      <c r="I46" s="117"/>
      <c r="J46" s="117"/>
      <c r="K46" s="117"/>
      <c r="L46" s="117"/>
      <c r="M46" s="117"/>
      <c r="N46" s="117"/>
      <c r="O46" s="117"/>
      <c r="P46" s="117"/>
      <c r="Q46" s="117"/>
      <c r="R46" s="117"/>
      <c r="S46" s="117"/>
      <c r="T46" s="120"/>
    </row>
    <row r="47" spans="8:20" x14ac:dyDescent="0.35">
      <c r="H47" s="116"/>
      <c r="I47" s="117"/>
      <c r="J47" s="117"/>
      <c r="K47" s="117"/>
      <c r="L47" s="117"/>
      <c r="M47" s="117"/>
      <c r="N47" s="117"/>
      <c r="O47" s="117"/>
      <c r="P47" s="117"/>
      <c r="Q47" s="117"/>
      <c r="R47" s="117"/>
      <c r="S47" s="117"/>
      <c r="T47" s="120"/>
    </row>
    <row r="48" spans="8:20" x14ac:dyDescent="0.35">
      <c r="H48" s="116"/>
      <c r="I48" s="117"/>
      <c r="J48" s="117"/>
      <c r="K48" s="117"/>
      <c r="L48" s="117"/>
      <c r="M48" s="117"/>
      <c r="N48" s="117"/>
      <c r="O48" s="117"/>
      <c r="P48" s="117"/>
      <c r="Q48" s="117"/>
      <c r="R48" s="117"/>
      <c r="S48" s="117"/>
      <c r="T48" s="120"/>
    </row>
    <row r="49" spans="8:28" x14ac:dyDescent="0.35">
      <c r="H49" s="116"/>
      <c r="I49" s="117"/>
      <c r="J49" s="117"/>
      <c r="K49" s="117"/>
      <c r="L49" s="117"/>
      <c r="M49" s="117"/>
      <c r="N49" s="117"/>
      <c r="O49" s="117"/>
      <c r="P49" s="117"/>
      <c r="Q49" s="117"/>
      <c r="R49" s="117"/>
      <c r="S49" s="117"/>
      <c r="T49" s="120"/>
    </row>
    <row r="50" spans="8:28" x14ac:dyDescent="0.35">
      <c r="H50" s="116"/>
      <c r="I50" s="117"/>
      <c r="J50" s="117"/>
      <c r="K50" s="117"/>
      <c r="L50" s="117"/>
      <c r="M50" s="117"/>
      <c r="N50" s="117"/>
      <c r="O50" s="117"/>
      <c r="P50" s="117"/>
      <c r="Q50" s="117"/>
      <c r="R50" s="117"/>
      <c r="S50" s="117"/>
      <c r="T50" s="120"/>
    </row>
    <row r="51" spans="8:28" x14ac:dyDescent="0.35">
      <c r="H51" s="116"/>
      <c r="I51" s="117"/>
      <c r="J51" s="117"/>
      <c r="K51" s="117"/>
      <c r="L51" s="117"/>
      <c r="M51" s="117"/>
      <c r="N51" s="117"/>
      <c r="O51" s="117"/>
      <c r="P51" s="117"/>
      <c r="Q51" s="117"/>
      <c r="R51" s="117"/>
      <c r="S51" s="117"/>
      <c r="T51" s="120"/>
    </row>
    <row r="52" spans="8:28" ht="15.5" x14ac:dyDescent="0.35">
      <c r="H52" s="116"/>
      <c r="I52" s="117"/>
      <c r="J52" s="117"/>
      <c r="K52" s="117"/>
      <c r="L52" s="117"/>
      <c r="M52" s="117"/>
      <c r="N52" s="117"/>
      <c r="O52" s="117"/>
      <c r="P52" s="117"/>
      <c r="Q52" s="117"/>
      <c r="R52" s="117"/>
      <c r="S52" s="117"/>
      <c r="T52" s="120"/>
      <c r="AB52" s="124"/>
    </row>
    <row r="53" spans="8:28" x14ac:dyDescent="0.35">
      <c r="H53" s="116"/>
      <c r="I53" s="117"/>
      <c r="J53" s="117"/>
      <c r="K53" s="117"/>
      <c r="L53" s="117"/>
      <c r="M53" s="117"/>
      <c r="N53" s="117"/>
      <c r="O53" s="117"/>
      <c r="P53" s="117"/>
      <c r="Q53" s="117"/>
      <c r="R53" s="117"/>
      <c r="S53" s="117"/>
      <c r="T53" s="120"/>
    </row>
    <row r="54" spans="8:28" x14ac:dyDescent="0.35">
      <c r="H54" s="116"/>
      <c r="I54" s="117"/>
      <c r="J54" s="117"/>
      <c r="K54" s="117"/>
      <c r="L54" s="117"/>
      <c r="M54" s="117"/>
      <c r="N54" s="117"/>
      <c r="O54" s="117"/>
      <c r="P54" s="117"/>
      <c r="Q54" s="117"/>
      <c r="R54" s="117"/>
      <c r="S54" s="117"/>
      <c r="T54" s="120"/>
    </row>
    <row r="55" spans="8:28" x14ac:dyDescent="0.35">
      <c r="H55" s="116"/>
      <c r="I55" s="117"/>
      <c r="J55" s="117"/>
      <c r="K55" s="117"/>
      <c r="L55" s="117"/>
      <c r="M55" s="117"/>
      <c r="N55" s="117"/>
      <c r="O55" s="117"/>
      <c r="P55" s="117"/>
      <c r="Q55" s="117"/>
      <c r="R55" s="117"/>
      <c r="S55" s="117"/>
      <c r="T55" s="120"/>
    </row>
    <row r="56" spans="8:28" x14ac:dyDescent="0.35">
      <c r="H56" s="116"/>
      <c r="I56" s="117"/>
      <c r="J56" s="117"/>
      <c r="K56" s="117"/>
      <c r="L56" s="117"/>
      <c r="M56" s="117"/>
      <c r="N56" s="117"/>
      <c r="O56" s="117"/>
      <c r="P56" s="117"/>
      <c r="Q56" s="117"/>
      <c r="R56" s="117"/>
      <c r="S56" s="117"/>
      <c r="T56" s="120"/>
    </row>
    <row r="57" spans="8:28" x14ac:dyDescent="0.35">
      <c r="H57" s="116"/>
      <c r="I57" s="117"/>
      <c r="J57" s="117"/>
      <c r="K57" s="117"/>
      <c r="L57" s="117"/>
      <c r="M57" s="117"/>
      <c r="N57" s="117"/>
      <c r="O57" s="117"/>
      <c r="P57" s="117"/>
      <c r="Q57" s="117"/>
      <c r="R57" s="117"/>
      <c r="S57" s="117"/>
      <c r="T57" s="120"/>
    </row>
    <row r="58" spans="8:28" x14ac:dyDescent="0.35">
      <c r="H58" s="116"/>
      <c r="I58" s="117"/>
      <c r="J58" s="117"/>
      <c r="K58" s="117"/>
      <c r="L58" s="117"/>
      <c r="M58" s="117"/>
      <c r="N58" s="117"/>
      <c r="O58" s="117"/>
      <c r="P58" s="117"/>
      <c r="Q58" s="117"/>
      <c r="R58" s="117"/>
      <c r="S58" s="117"/>
      <c r="T58" s="120"/>
    </row>
    <row r="59" spans="8:28" x14ac:dyDescent="0.35">
      <c r="H59" s="116"/>
      <c r="I59" s="117"/>
      <c r="J59" s="117"/>
      <c r="K59" s="117"/>
      <c r="L59" s="117"/>
      <c r="M59" s="117"/>
      <c r="N59" s="117"/>
      <c r="O59" s="117"/>
      <c r="P59" s="117"/>
      <c r="Q59" s="117"/>
      <c r="R59" s="117"/>
      <c r="S59" s="117"/>
      <c r="T59" s="120"/>
    </row>
    <row r="60" spans="8:28" x14ac:dyDescent="0.35">
      <c r="H60" s="116"/>
      <c r="I60" s="117"/>
      <c r="J60" s="117"/>
      <c r="K60" s="117"/>
      <c r="L60" s="117"/>
      <c r="M60" s="117"/>
      <c r="N60" s="117"/>
      <c r="O60" s="117"/>
      <c r="P60" s="117"/>
      <c r="Q60" s="117"/>
      <c r="R60" s="117"/>
      <c r="S60" s="117"/>
      <c r="T60" s="120"/>
    </row>
    <row r="61" spans="8:28" x14ac:dyDescent="0.35">
      <c r="H61" s="116"/>
      <c r="I61" s="117"/>
      <c r="J61" s="117"/>
      <c r="K61" s="117"/>
      <c r="L61" s="117"/>
      <c r="M61" s="117"/>
      <c r="N61" s="117"/>
      <c r="O61" s="117"/>
      <c r="P61" s="117"/>
      <c r="Q61" s="117"/>
      <c r="R61" s="117"/>
      <c r="S61" s="117"/>
      <c r="T61" s="120"/>
    </row>
    <row r="62" spans="8:28" x14ac:dyDescent="0.35">
      <c r="H62" s="116"/>
      <c r="I62" s="117"/>
      <c r="J62" s="117"/>
      <c r="K62" s="117"/>
      <c r="L62" s="117"/>
      <c r="M62" s="117"/>
      <c r="N62" s="117"/>
      <c r="O62" s="117"/>
      <c r="P62" s="117"/>
      <c r="Q62" s="117"/>
      <c r="R62" s="117"/>
      <c r="S62" s="117"/>
      <c r="T62" s="120"/>
    </row>
    <row r="63" spans="8:28" x14ac:dyDescent="0.35">
      <c r="H63" s="116"/>
      <c r="I63" s="117"/>
      <c r="J63" s="117"/>
      <c r="K63" s="117"/>
      <c r="L63" s="117"/>
      <c r="M63" s="117"/>
      <c r="N63" s="117"/>
      <c r="O63" s="117"/>
      <c r="P63" s="117"/>
      <c r="Q63" s="117"/>
      <c r="R63" s="117"/>
      <c r="S63" s="117"/>
      <c r="T63" s="120"/>
    </row>
    <row r="64" spans="8:28" x14ac:dyDescent="0.35">
      <c r="H64" s="116"/>
      <c r="I64" s="117"/>
      <c r="J64" s="117"/>
      <c r="K64" s="117"/>
      <c r="L64" s="117"/>
      <c r="M64" s="117"/>
      <c r="N64" s="117"/>
      <c r="O64" s="117"/>
      <c r="P64" s="117"/>
      <c r="Q64" s="117"/>
      <c r="R64" s="117"/>
      <c r="S64" s="117"/>
      <c r="T64" s="120"/>
    </row>
    <row r="65" spans="1:20" x14ac:dyDescent="0.35">
      <c r="H65" s="116"/>
      <c r="I65" s="117"/>
      <c r="J65" s="117"/>
      <c r="K65" s="117"/>
      <c r="L65" s="117"/>
      <c r="M65" s="117"/>
      <c r="N65" s="117"/>
      <c r="O65" s="117"/>
      <c r="P65" s="117"/>
      <c r="Q65" s="117"/>
      <c r="R65" s="117"/>
      <c r="S65" s="117"/>
      <c r="T65" s="120"/>
    </row>
    <row r="66" spans="1:20" x14ac:dyDescent="0.35">
      <c r="H66" s="116"/>
      <c r="I66" s="117"/>
      <c r="J66" s="117"/>
      <c r="K66" s="117"/>
      <c r="L66" s="117"/>
      <c r="M66" s="117"/>
      <c r="N66" s="117"/>
      <c r="O66" s="117"/>
      <c r="P66" s="117"/>
      <c r="Q66" s="117"/>
      <c r="R66" s="117"/>
      <c r="S66" s="117"/>
      <c r="T66" s="120"/>
    </row>
    <row r="67" spans="1:20" x14ac:dyDescent="0.35">
      <c r="H67" s="116"/>
      <c r="I67" s="117"/>
      <c r="J67" s="117"/>
      <c r="K67" s="117"/>
      <c r="L67" s="117"/>
      <c r="M67" s="117"/>
      <c r="N67" s="117"/>
      <c r="O67" s="117"/>
      <c r="P67" s="117"/>
      <c r="Q67" s="117"/>
      <c r="R67" s="117"/>
      <c r="S67" s="117"/>
      <c r="T67" s="120"/>
    </row>
    <row r="68" spans="1:20" x14ac:dyDescent="0.35">
      <c r="H68" s="116"/>
      <c r="I68" s="117"/>
      <c r="J68" s="117"/>
      <c r="K68" s="117"/>
      <c r="L68" s="117"/>
      <c r="M68" s="117"/>
      <c r="N68" s="117"/>
      <c r="O68" s="117"/>
      <c r="P68" s="117"/>
      <c r="Q68" s="117"/>
      <c r="R68" s="117"/>
      <c r="S68" s="117"/>
      <c r="T68" s="120"/>
    </row>
    <row r="69" spans="1:20" x14ac:dyDescent="0.35">
      <c r="H69" s="116"/>
      <c r="I69" s="117"/>
      <c r="J69" s="117"/>
      <c r="K69" s="117"/>
      <c r="L69" s="117"/>
      <c r="M69" s="117"/>
      <c r="N69" s="117"/>
      <c r="O69" s="117"/>
      <c r="P69" s="117"/>
      <c r="Q69" s="117"/>
      <c r="R69" s="117"/>
      <c r="S69" s="117"/>
      <c r="T69" s="120"/>
    </row>
    <row r="70" spans="1:20" x14ac:dyDescent="0.35">
      <c r="H70" s="116"/>
      <c r="I70" s="117"/>
      <c r="J70" s="117"/>
      <c r="K70" s="117"/>
      <c r="L70" s="117"/>
      <c r="M70" s="117"/>
      <c r="N70" s="117"/>
      <c r="O70" s="117"/>
      <c r="P70" s="117"/>
      <c r="Q70" s="117"/>
      <c r="R70" s="117"/>
      <c r="S70" s="117"/>
      <c r="T70" s="120"/>
    </row>
    <row r="71" spans="1:20" x14ac:dyDescent="0.35">
      <c r="H71" s="116"/>
      <c r="I71" s="117"/>
      <c r="J71" s="117"/>
      <c r="K71" s="117"/>
      <c r="L71" s="117"/>
      <c r="M71" s="117"/>
      <c r="N71" s="117"/>
      <c r="O71" s="117"/>
      <c r="P71" s="117"/>
      <c r="Q71" s="117"/>
      <c r="R71" s="117"/>
      <c r="S71" s="117"/>
      <c r="T71" s="120"/>
    </row>
    <row r="72" spans="1:20" x14ac:dyDescent="0.35">
      <c r="H72" s="116"/>
      <c r="I72" s="117"/>
      <c r="J72" s="117"/>
      <c r="K72" s="117"/>
      <c r="L72" s="117"/>
      <c r="M72" s="117"/>
      <c r="N72" s="117"/>
      <c r="O72" s="117"/>
      <c r="P72" s="117"/>
      <c r="Q72" s="117"/>
      <c r="R72" s="117"/>
      <c r="S72" s="117"/>
      <c r="T72" s="120"/>
    </row>
    <row r="73" spans="1:20" x14ac:dyDescent="0.35">
      <c r="H73" s="116"/>
      <c r="I73" s="117"/>
      <c r="J73" s="117"/>
      <c r="K73" s="117"/>
      <c r="L73" s="117"/>
      <c r="M73" s="117"/>
      <c r="N73" s="117"/>
      <c r="O73" s="117"/>
      <c r="P73" s="117"/>
      <c r="Q73" s="117"/>
      <c r="R73" s="117"/>
      <c r="S73" s="117"/>
      <c r="T73" s="120"/>
    </row>
    <row r="74" spans="1:20" x14ac:dyDescent="0.35">
      <c r="H74" s="116"/>
      <c r="I74" s="117"/>
      <c r="J74" s="117"/>
      <c r="K74" s="117"/>
      <c r="L74" s="117"/>
      <c r="M74" s="117"/>
      <c r="N74" s="117"/>
      <c r="O74" s="117"/>
      <c r="P74" s="117"/>
      <c r="Q74" s="117"/>
      <c r="R74" s="117"/>
      <c r="S74" s="117"/>
      <c r="T74" s="120"/>
    </row>
    <row r="75" spans="1:20" x14ac:dyDescent="0.35">
      <c r="H75" s="116"/>
      <c r="I75" s="117"/>
      <c r="J75" s="117"/>
      <c r="K75" s="117"/>
      <c r="L75" s="117"/>
      <c r="M75" s="117"/>
      <c r="N75" s="117"/>
      <c r="O75" s="117"/>
      <c r="P75" s="117"/>
      <c r="Q75" s="117"/>
      <c r="R75" s="117"/>
      <c r="S75" s="117"/>
      <c r="T75" s="120"/>
    </row>
    <row r="76" spans="1:20" x14ac:dyDescent="0.35">
      <c r="H76" s="116"/>
      <c r="I76" s="117"/>
      <c r="J76" s="117"/>
      <c r="K76" s="117"/>
      <c r="L76" s="117"/>
      <c r="M76" s="117"/>
      <c r="N76" s="117"/>
      <c r="O76" s="117"/>
      <c r="P76" s="117"/>
      <c r="Q76" s="117"/>
      <c r="R76" s="117"/>
      <c r="S76" s="117"/>
      <c r="T76" s="120"/>
    </row>
    <row r="77" spans="1:20" x14ac:dyDescent="0.35">
      <c r="H77" s="116"/>
      <c r="I77" s="117"/>
      <c r="J77" s="117"/>
      <c r="K77" s="117"/>
      <c r="L77" s="117"/>
      <c r="M77" s="117"/>
      <c r="N77" s="117"/>
      <c r="O77" s="117"/>
      <c r="P77" s="117"/>
      <c r="Q77" s="117"/>
      <c r="R77" s="117"/>
      <c r="S77" s="117"/>
      <c r="T77" s="120"/>
    </row>
    <row r="78" spans="1:20" x14ac:dyDescent="0.35">
      <c r="H78" s="116"/>
      <c r="I78" s="117"/>
      <c r="J78" s="117"/>
      <c r="K78" s="117"/>
      <c r="L78" s="117"/>
      <c r="M78" s="117"/>
      <c r="N78" s="117"/>
      <c r="O78" s="117"/>
      <c r="P78" s="117"/>
      <c r="Q78" s="117"/>
      <c r="R78" s="117"/>
      <c r="S78" s="117"/>
      <c r="T78" s="120"/>
    </row>
    <row r="79" spans="1:20" ht="15" thickBot="1" x14ac:dyDescent="0.4">
      <c r="A79" s="59"/>
      <c r="H79" s="121"/>
      <c r="I79" s="122"/>
      <c r="J79" s="122"/>
      <c r="K79" s="122"/>
      <c r="L79" s="122"/>
      <c r="M79" s="122"/>
      <c r="N79" s="122"/>
      <c r="O79" s="122"/>
      <c r="P79" s="122"/>
      <c r="Q79" s="122"/>
      <c r="R79" s="122"/>
      <c r="S79" s="122"/>
      <c r="T79" s="123"/>
    </row>
    <row r="80" spans="1:20" ht="15" thickTop="1" x14ac:dyDescent="0.35">
      <c r="A80" s="59"/>
    </row>
    <row r="82" spans="1:1" x14ac:dyDescent="0.35">
      <c r="A82" s="59"/>
    </row>
    <row r="83" spans="1:1" x14ac:dyDescent="0.35">
      <c r="A83" s="59"/>
    </row>
    <row r="84" spans="1:1" x14ac:dyDescent="0.35">
      <c r="A84" s="59"/>
    </row>
    <row r="85" spans="1:1" x14ac:dyDescent="0.35">
      <c r="A85" s="59"/>
    </row>
    <row r="86" spans="1:1" x14ac:dyDescent="0.35">
      <c r="A86" s="59"/>
    </row>
    <row r="87" spans="1:1" x14ac:dyDescent="0.35">
      <c r="A87" s="59"/>
    </row>
    <row r="88" spans="1:1" x14ac:dyDescent="0.35">
      <c r="A88" s="59"/>
    </row>
    <row r="89" spans="1:1" x14ac:dyDescent="0.35">
      <c r="A89" s="59"/>
    </row>
    <row r="90" spans="1:1" x14ac:dyDescent="0.35">
      <c r="A90" s="59"/>
    </row>
    <row r="91" spans="1:1" x14ac:dyDescent="0.35">
      <c r="A91" s="59"/>
    </row>
    <row r="127" spans="1:7" x14ac:dyDescent="0.35">
      <c r="A127" s="53"/>
      <c r="B127" s="54"/>
      <c r="C127" s="54"/>
      <c r="D127" s="54"/>
      <c r="E127" s="54"/>
      <c r="F127" s="54"/>
      <c r="G127" s="55"/>
    </row>
    <row r="128" spans="1:7" x14ac:dyDescent="0.35">
      <c r="A128" s="53"/>
      <c r="B128" s="54"/>
      <c r="C128" s="54"/>
      <c r="D128" s="54"/>
      <c r="E128" s="54"/>
      <c r="F128" s="54"/>
      <c r="G128" s="55"/>
    </row>
    <row r="129" spans="1:7" x14ac:dyDescent="0.35">
      <c r="A129" s="53"/>
      <c r="B129" s="54"/>
      <c r="C129" s="54"/>
      <c r="D129" s="54"/>
      <c r="E129" s="54"/>
      <c r="F129" s="54"/>
      <c r="G129" s="55"/>
    </row>
    <row r="130" spans="1:7" x14ac:dyDescent="0.35">
      <c r="A130" s="53"/>
      <c r="B130" s="54"/>
      <c r="C130" s="54"/>
      <c r="D130" s="54"/>
      <c r="E130" s="54"/>
      <c r="F130" s="54"/>
      <c r="G130" s="55"/>
    </row>
    <row r="131" spans="1:7" x14ac:dyDescent="0.35">
      <c r="A131" s="53"/>
      <c r="B131" s="54"/>
      <c r="C131" s="54"/>
      <c r="D131" s="54"/>
      <c r="E131" s="54"/>
      <c r="F131" s="54"/>
      <c r="G131" s="55"/>
    </row>
    <row r="132" spans="1:7" x14ac:dyDescent="0.35">
      <c r="A132" s="53"/>
      <c r="B132" s="54"/>
      <c r="C132" s="54"/>
      <c r="D132" s="54"/>
      <c r="E132" s="54"/>
      <c r="F132" s="54"/>
      <c r="G132" s="55"/>
    </row>
    <row r="133" spans="1:7" x14ac:dyDescent="0.35">
      <c r="A133" s="53"/>
      <c r="B133" s="54"/>
      <c r="C133" s="54"/>
      <c r="D133" s="54"/>
      <c r="E133" s="54"/>
      <c r="F133" s="54"/>
      <c r="G133" s="55"/>
    </row>
    <row r="134" spans="1:7" x14ac:dyDescent="0.35">
      <c r="A134" s="53"/>
      <c r="B134" s="54"/>
      <c r="C134" s="54"/>
      <c r="D134" s="54"/>
      <c r="E134" s="54"/>
      <c r="F134" s="54"/>
      <c r="G134" s="55"/>
    </row>
    <row r="135" spans="1:7" x14ac:dyDescent="0.35">
      <c r="A135" s="53"/>
      <c r="B135" s="54"/>
      <c r="C135" s="54"/>
      <c r="D135" s="54"/>
      <c r="E135" s="54"/>
      <c r="F135" s="54"/>
      <c r="G135" s="55"/>
    </row>
    <row r="136" spans="1:7" x14ac:dyDescent="0.35">
      <c r="A136" s="53"/>
      <c r="B136" s="54"/>
      <c r="C136" s="54"/>
      <c r="D136" s="54"/>
      <c r="E136" s="54"/>
      <c r="F136" s="54"/>
      <c r="G136" s="55"/>
    </row>
    <row r="137" spans="1:7" x14ac:dyDescent="0.35">
      <c r="A137" s="53"/>
      <c r="B137" s="54"/>
      <c r="C137" s="54"/>
      <c r="D137" s="54"/>
      <c r="E137" s="54"/>
      <c r="F137" s="54"/>
      <c r="G137" s="55"/>
    </row>
    <row r="138" spans="1:7" x14ac:dyDescent="0.35">
      <c r="A138" s="53"/>
      <c r="B138" s="54"/>
      <c r="C138" s="54"/>
      <c r="D138" s="54"/>
      <c r="E138" s="54"/>
      <c r="F138" s="54"/>
      <c r="G138" s="55"/>
    </row>
    <row r="139" spans="1:7" x14ac:dyDescent="0.35">
      <c r="A139" s="53"/>
      <c r="B139" s="54"/>
      <c r="C139" s="54"/>
      <c r="D139" s="54"/>
      <c r="E139" s="54"/>
      <c r="F139" s="54"/>
      <c r="G139" s="55"/>
    </row>
    <row r="140" spans="1:7" x14ac:dyDescent="0.35">
      <c r="A140" s="53"/>
      <c r="B140" s="54"/>
      <c r="C140" s="54"/>
      <c r="D140" s="54"/>
      <c r="E140" s="54"/>
      <c r="F140" s="54"/>
      <c r="G140" s="55"/>
    </row>
    <row r="141" spans="1:7" x14ac:dyDescent="0.35">
      <c r="A141" s="53"/>
      <c r="B141" s="54"/>
      <c r="C141" s="54"/>
      <c r="D141" s="54"/>
      <c r="E141" s="54"/>
      <c r="F141" s="54"/>
      <c r="G141" s="55"/>
    </row>
    <row r="142" spans="1:7" x14ac:dyDescent="0.35">
      <c r="A142" s="53"/>
      <c r="B142" s="54"/>
      <c r="C142" s="54"/>
      <c r="D142" s="54"/>
      <c r="E142" s="54"/>
      <c r="F142" s="54"/>
      <c r="G142" s="55"/>
    </row>
    <row r="143" spans="1:7" x14ac:dyDescent="0.35">
      <c r="A143" s="53"/>
      <c r="B143" s="54"/>
      <c r="C143" s="54"/>
      <c r="D143" s="54"/>
      <c r="E143" s="54"/>
      <c r="F143" s="54"/>
      <c r="G143" s="55"/>
    </row>
    <row r="144" spans="1:7" x14ac:dyDescent="0.35">
      <c r="A144" s="53"/>
      <c r="B144" s="54"/>
      <c r="C144" s="54"/>
      <c r="D144" s="54"/>
      <c r="E144" s="54"/>
      <c r="F144" s="54"/>
      <c r="G144" s="55"/>
    </row>
    <row r="145" spans="1:7" x14ac:dyDescent="0.35">
      <c r="A145" s="53"/>
      <c r="B145" s="54"/>
      <c r="C145" s="54"/>
      <c r="D145" s="54"/>
      <c r="E145" s="54"/>
      <c r="F145" s="54"/>
      <c r="G145" s="55"/>
    </row>
    <row r="146" spans="1:7" x14ac:dyDescent="0.35">
      <c r="A146" s="53"/>
      <c r="B146" s="54"/>
      <c r="C146" s="54"/>
      <c r="D146" s="54"/>
      <c r="E146" s="54"/>
      <c r="F146" s="54"/>
      <c r="G146" s="55"/>
    </row>
    <row r="147" spans="1:7" x14ac:dyDescent="0.35">
      <c r="A147" s="53"/>
      <c r="B147" s="54"/>
      <c r="C147" s="54"/>
      <c r="D147" s="54"/>
      <c r="E147" s="54"/>
      <c r="F147" s="54"/>
      <c r="G147" s="55"/>
    </row>
    <row r="148" spans="1:7" x14ac:dyDescent="0.35">
      <c r="A148" s="53"/>
      <c r="B148" s="54"/>
      <c r="C148" s="54"/>
      <c r="D148" s="54"/>
      <c r="E148" s="54"/>
      <c r="F148" s="54"/>
      <c r="G148" s="55"/>
    </row>
    <row r="149" spans="1:7" x14ac:dyDescent="0.35">
      <c r="A149" s="53"/>
      <c r="B149" s="54"/>
      <c r="C149" s="54"/>
      <c r="D149" s="54"/>
      <c r="E149" s="54"/>
      <c r="F149" s="54"/>
      <c r="G149" s="55"/>
    </row>
    <row r="150" spans="1:7" x14ac:dyDescent="0.35">
      <c r="A150" s="53"/>
      <c r="B150" s="54"/>
      <c r="C150" s="54"/>
      <c r="D150" s="54"/>
      <c r="E150" s="54"/>
      <c r="F150" s="54"/>
      <c r="G150" s="55"/>
    </row>
    <row r="151" spans="1:7" x14ac:dyDescent="0.35">
      <c r="A151" s="53"/>
      <c r="B151" s="54"/>
      <c r="C151" s="54"/>
      <c r="D151" s="54"/>
      <c r="E151" s="54"/>
      <c r="F151" s="54"/>
      <c r="G151" s="55"/>
    </row>
    <row r="152" spans="1:7" x14ac:dyDescent="0.35">
      <c r="A152" s="53"/>
      <c r="B152" s="54"/>
      <c r="C152" s="54"/>
      <c r="D152" s="54"/>
      <c r="E152" s="54"/>
      <c r="F152" s="54"/>
      <c r="G152" s="55"/>
    </row>
    <row r="153" spans="1:7" x14ac:dyDescent="0.35">
      <c r="A153" s="53"/>
      <c r="B153" s="54"/>
      <c r="C153" s="54"/>
      <c r="D153" s="54"/>
      <c r="E153" s="54"/>
      <c r="F153" s="54"/>
      <c r="G153" s="55"/>
    </row>
    <row r="154" spans="1:7" x14ac:dyDescent="0.35">
      <c r="A154" s="53"/>
      <c r="B154" s="54"/>
      <c r="C154" s="54"/>
      <c r="D154" s="54"/>
      <c r="E154" s="54"/>
      <c r="F154" s="54"/>
      <c r="G154" s="55"/>
    </row>
    <row r="155" spans="1:7" x14ac:dyDescent="0.35">
      <c r="A155" s="53"/>
      <c r="B155" s="54"/>
      <c r="C155" s="54"/>
      <c r="D155" s="54"/>
      <c r="E155" s="54"/>
      <c r="F155" s="54"/>
      <c r="G155" s="55"/>
    </row>
    <row r="156" spans="1:7" x14ac:dyDescent="0.35">
      <c r="A156" s="53"/>
      <c r="B156" s="54"/>
      <c r="C156" s="54"/>
      <c r="D156" s="54"/>
      <c r="E156" s="54"/>
      <c r="F156" s="54"/>
      <c r="G156" s="55"/>
    </row>
    <row r="157" spans="1:7" x14ac:dyDescent="0.35">
      <c r="A157" s="53"/>
      <c r="B157" s="54"/>
      <c r="C157" s="54"/>
      <c r="D157" s="54"/>
      <c r="E157" s="54"/>
      <c r="F157" s="54"/>
      <c r="G157" s="55"/>
    </row>
    <row r="158" spans="1:7" x14ac:dyDescent="0.35">
      <c r="A158" s="53"/>
      <c r="B158" s="54"/>
      <c r="C158" s="54"/>
      <c r="D158" s="54"/>
      <c r="E158" s="54"/>
      <c r="F158" s="54"/>
      <c r="G158" s="55"/>
    </row>
    <row r="159" spans="1:7" x14ac:dyDescent="0.35">
      <c r="A159" s="53"/>
      <c r="B159" s="54"/>
      <c r="C159" s="54"/>
      <c r="D159" s="54"/>
      <c r="E159" s="54"/>
      <c r="F159" s="54"/>
      <c r="G159" s="55"/>
    </row>
    <row r="160" spans="1:7" x14ac:dyDescent="0.35">
      <c r="A160" s="53"/>
      <c r="B160" s="54"/>
      <c r="C160" s="54"/>
      <c r="D160" s="54"/>
      <c r="E160" s="54"/>
      <c r="F160" s="54"/>
      <c r="G160" s="55"/>
    </row>
    <row r="161" spans="1:7" x14ac:dyDescent="0.35">
      <c r="A161" s="53"/>
      <c r="B161" s="54"/>
      <c r="C161" s="54"/>
      <c r="D161" s="54"/>
      <c r="E161" s="54"/>
      <c r="F161" s="54"/>
      <c r="G161" s="55"/>
    </row>
    <row r="162" spans="1:7" x14ac:dyDescent="0.35">
      <c r="A162" s="53"/>
      <c r="B162" s="54"/>
      <c r="C162" s="54"/>
      <c r="D162" s="54"/>
      <c r="E162" s="54"/>
      <c r="F162" s="54"/>
      <c r="G162" s="55"/>
    </row>
    <row r="163" spans="1:7" x14ac:dyDescent="0.35">
      <c r="A163" s="53"/>
      <c r="B163" s="54"/>
      <c r="C163" s="54"/>
      <c r="D163" s="54"/>
      <c r="E163" s="54"/>
      <c r="F163" s="54"/>
      <c r="G163" s="55"/>
    </row>
    <row r="164" spans="1:7" x14ac:dyDescent="0.35">
      <c r="A164" s="53"/>
      <c r="B164" s="54"/>
      <c r="C164" s="54"/>
      <c r="D164" s="54"/>
      <c r="E164" s="54"/>
      <c r="F164" s="54"/>
      <c r="G164" s="55"/>
    </row>
    <row r="165" spans="1:7" x14ac:dyDescent="0.35">
      <c r="A165" s="53"/>
      <c r="B165" s="54"/>
      <c r="C165" s="54"/>
      <c r="D165" s="54"/>
      <c r="E165" s="54"/>
      <c r="F165" s="54"/>
      <c r="G165" s="55"/>
    </row>
    <row r="166" spans="1:7" x14ac:dyDescent="0.35">
      <c r="A166" s="53"/>
      <c r="B166" s="54"/>
      <c r="C166" s="54"/>
      <c r="D166" s="54"/>
      <c r="E166" s="54"/>
      <c r="F166" s="54"/>
      <c r="G166" s="55"/>
    </row>
    <row r="167" spans="1:7" x14ac:dyDescent="0.35">
      <c r="A167" s="53"/>
      <c r="B167" s="54"/>
      <c r="C167" s="54"/>
      <c r="D167" s="54"/>
      <c r="E167" s="54"/>
      <c r="F167" s="54"/>
      <c r="G167" s="55"/>
    </row>
    <row r="168" spans="1:7" x14ac:dyDescent="0.35">
      <c r="A168" s="53"/>
      <c r="B168" s="54"/>
      <c r="C168" s="54"/>
      <c r="D168" s="54"/>
      <c r="E168" s="54"/>
      <c r="F168" s="54"/>
      <c r="G168" s="55"/>
    </row>
    <row r="169" spans="1:7" x14ac:dyDescent="0.35">
      <c r="A169" s="53"/>
      <c r="B169" s="54"/>
      <c r="C169" s="54"/>
      <c r="D169" s="54"/>
      <c r="E169" s="54"/>
      <c r="F169" s="54"/>
      <c r="G169" s="55"/>
    </row>
    <row r="170" spans="1:7" x14ac:dyDescent="0.35">
      <c r="A170" s="53"/>
      <c r="B170" s="54"/>
      <c r="C170" s="54"/>
      <c r="D170" s="54"/>
      <c r="E170" s="54"/>
      <c r="F170" s="54"/>
      <c r="G170" s="55"/>
    </row>
    <row r="171" spans="1:7" x14ac:dyDescent="0.35">
      <c r="A171" s="53"/>
      <c r="B171" s="54"/>
      <c r="C171" s="54"/>
      <c r="D171" s="54"/>
      <c r="E171" s="54"/>
      <c r="F171" s="54"/>
      <c r="G171" s="55"/>
    </row>
    <row r="172" spans="1:7" x14ac:dyDescent="0.35">
      <c r="A172" s="53"/>
      <c r="B172" s="54"/>
      <c r="C172" s="54"/>
      <c r="D172" s="54"/>
      <c r="E172" s="54"/>
      <c r="F172" s="54"/>
      <c r="G172" s="55"/>
    </row>
    <row r="173" spans="1:7" x14ac:dyDescent="0.35">
      <c r="A173" s="53"/>
      <c r="B173" s="54"/>
      <c r="C173" s="54"/>
      <c r="D173" s="54"/>
      <c r="E173" s="54"/>
      <c r="F173" s="54"/>
      <c r="G173" s="55"/>
    </row>
    <row r="174" spans="1:7" x14ac:dyDescent="0.35">
      <c r="A174" s="53"/>
      <c r="B174" s="54"/>
      <c r="C174" s="54"/>
      <c r="D174" s="54"/>
      <c r="E174" s="54"/>
      <c r="F174" s="54"/>
      <c r="G174" s="55"/>
    </row>
    <row r="175" spans="1:7" x14ac:dyDescent="0.35">
      <c r="A175" s="53"/>
      <c r="B175" s="54"/>
      <c r="C175" s="54"/>
      <c r="D175" s="54"/>
      <c r="E175" s="54"/>
      <c r="F175" s="54"/>
      <c r="G175" s="55"/>
    </row>
    <row r="176" spans="1:7" x14ac:dyDescent="0.35">
      <c r="A176" s="53"/>
      <c r="B176" s="54"/>
      <c r="C176" s="54"/>
      <c r="D176" s="54"/>
      <c r="E176" s="54"/>
      <c r="F176" s="54"/>
      <c r="G176" s="55"/>
    </row>
    <row r="177" spans="1:7" x14ac:dyDescent="0.35">
      <c r="A177" s="53"/>
      <c r="B177" s="54"/>
      <c r="C177" s="54"/>
      <c r="D177" s="54"/>
      <c r="E177" s="54"/>
      <c r="F177" s="54"/>
      <c r="G177" s="55"/>
    </row>
    <row r="178" spans="1:7" x14ac:dyDescent="0.35">
      <c r="A178" s="53"/>
      <c r="B178" s="54"/>
      <c r="C178" s="54"/>
      <c r="D178" s="54"/>
      <c r="E178" s="54"/>
      <c r="F178" s="54"/>
      <c r="G178" s="55"/>
    </row>
    <row r="179" spans="1:7" x14ac:dyDescent="0.35">
      <c r="A179" s="53"/>
      <c r="B179" s="54"/>
      <c r="C179" s="54"/>
      <c r="D179" s="54"/>
      <c r="E179" s="54"/>
      <c r="F179" s="54"/>
      <c r="G179" s="55"/>
    </row>
    <row r="180" spans="1:7" x14ac:dyDescent="0.35">
      <c r="A180" s="53"/>
      <c r="B180" s="54"/>
      <c r="C180" s="54"/>
      <c r="D180" s="54"/>
      <c r="E180" s="54"/>
      <c r="F180" s="54"/>
      <c r="G180" s="55"/>
    </row>
    <row r="181" spans="1:7" x14ac:dyDescent="0.35">
      <c r="A181" s="53"/>
      <c r="B181" s="54"/>
      <c r="C181" s="54"/>
      <c r="D181" s="54"/>
      <c r="E181" s="54"/>
      <c r="F181" s="54"/>
      <c r="G181" s="55"/>
    </row>
    <row r="182" spans="1:7" x14ac:dyDescent="0.35">
      <c r="A182" s="53"/>
      <c r="B182" s="54"/>
      <c r="C182" s="54"/>
      <c r="D182" s="54"/>
      <c r="E182" s="54"/>
      <c r="F182" s="54"/>
      <c r="G182" s="55"/>
    </row>
    <row r="183" spans="1:7" x14ac:dyDescent="0.35">
      <c r="A183" s="53"/>
      <c r="B183" s="54"/>
      <c r="C183" s="54"/>
      <c r="D183" s="54"/>
      <c r="E183" s="54"/>
      <c r="F183" s="54"/>
      <c r="G183" s="55"/>
    </row>
    <row r="184" spans="1:7" x14ac:dyDescent="0.35">
      <c r="A184" s="53"/>
      <c r="B184" s="54"/>
      <c r="C184" s="54"/>
      <c r="D184" s="54"/>
      <c r="E184" s="54"/>
      <c r="F184" s="54"/>
      <c r="G184" s="55"/>
    </row>
    <row r="185" spans="1:7" x14ac:dyDescent="0.35">
      <c r="A185" s="53"/>
      <c r="B185" s="54"/>
      <c r="C185" s="54"/>
      <c r="D185" s="54"/>
      <c r="E185" s="54"/>
      <c r="F185" s="54"/>
      <c r="G185" s="55"/>
    </row>
    <row r="186" spans="1:7" x14ac:dyDescent="0.35">
      <c r="A186" s="53"/>
      <c r="B186" s="54"/>
      <c r="C186" s="54"/>
      <c r="D186" s="54"/>
      <c r="E186" s="54"/>
      <c r="F186" s="54"/>
      <c r="G186" s="55"/>
    </row>
    <row r="187" spans="1:7" x14ac:dyDescent="0.35">
      <c r="A187" s="53"/>
      <c r="B187" s="54"/>
      <c r="C187" s="54"/>
      <c r="D187" s="54"/>
      <c r="E187" s="54"/>
      <c r="F187" s="54"/>
      <c r="G187" s="55"/>
    </row>
    <row r="188" spans="1:7" x14ac:dyDescent="0.35">
      <c r="A188" s="53"/>
      <c r="B188" s="54"/>
      <c r="C188" s="54"/>
      <c r="D188" s="54"/>
      <c r="E188" s="54"/>
      <c r="F188" s="54"/>
      <c r="G188" s="55"/>
    </row>
    <row r="189" spans="1:7" x14ac:dyDescent="0.35">
      <c r="A189" s="53"/>
      <c r="B189" s="54"/>
      <c r="C189" s="54"/>
      <c r="D189" s="54"/>
      <c r="E189" s="54"/>
      <c r="F189" s="54"/>
      <c r="G189" s="55"/>
    </row>
    <row r="190" spans="1:7" x14ac:dyDescent="0.35">
      <c r="A190" s="53"/>
      <c r="B190" s="54"/>
      <c r="C190" s="54"/>
      <c r="D190" s="54"/>
      <c r="E190" s="54"/>
      <c r="F190" s="54"/>
      <c r="G190" s="55"/>
    </row>
    <row r="191" spans="1:7" x14ac:dyDescent="0.35">
      <c r="A191" s="53"/>
      <c r="B191" s="54"/>
      <c r="C191" s="54"/>
      <c r="D191" s="54"/>
      <c r="E191" s="54"/>
      <c r="F191" s="54"/>
      <c r="G191" s="55"/>
    </row>
    <row r="192" spans="1:7" x14ac:dyDescent="0.35">
      <c r="A192" s="53"/>
      <c r="B192" s="54"/>
      <c r="C192" s="54"/>
      <c r="D192" s="54"/>
      <c r="E192" s="54"/>
      <c r="F192" s="54"/>
      <c r="G192" s="55"/>
    </row>
    <row r="193" spans="1:81" x14ac:dyDescent="0.35">
      <c r="A193" s="53"/>
      <c r="B193" s="54"/>
      <c r="C193" s="54"/>
      <c r="D193" s="54"/>
      <c r="E193" s="54"/>
      <c r="F193" s="54"/>
      <c r="G193" s="55"/>
    </row>
    <row r="194" spans="1:81" x14ac:dyDescent="0.35">
      <c r="A194" s="53"/>
      <c r="B194" s="54"/>
      <c r="C194" s="54"/>
      <c r="D194" s="54"/>
      <c r="E194" s="54"/>
      <c r="F194" s="54"/>
      <c r="G194" s="55"/>
    </row>
    <row r="195" spans="1:81" x14ac:dyDescent="0.35">
      <c r="A195" s="53"/>
      <c r="B195" s="54"/>
      <c r="C195" s="54"/>
      <c r="D195" s="54"/>
      <c r="E195" s="54"/>
      <c r="F195" s="54"/>
      <c r="G195" s="55"/>
    </row>
    <row r="196" spans="1:81" x14ac:dyDescent="0.35">
      <c r="A196" s="53"/>
      <c r="B196" s="54"/>
      <c r="C196" s="54"/>
      <c r="D196" s="54"/>
      <c r="E196" s="54"/>
      <c r="F196" s="54"/>
      <c r="G196" s="55"/>
      <c r="CC196" s="60"/>
    </row>
    <row r="197" spans="1:81" x14ac:dyDescent="0.35">
      <c r="A197" s="53"/>
      <c r="B197" s="54"/>
      <c r="C197" s="54"/>
      <c r="D197" s="54"/>
      <c r="E197" s="54"/>
      <c r="F197" s="54"/>
      <c r="G197" s="55"/>
      <c r="CC197" s="60"/>
    </row>
    <row r="198" spans="1:81" x14ac:dyDescent="0.35">
      <c r="A198" s="53"/>
      <c r="B198" s="54"/>
      <c r="C198" s="54"/>
      <c r="D198" s="54"/>
      <c r="E198" s="54"/>
      <c r="F198" s="54"/>
      <c r="G198" s="55"/>
    </row>
    <row r="199" spans="1:81" x14ac:dyDescent="0.35">
      <c r="A199" s="53"/>
      <c r="B199" s="54"/>
      <c r="C199" s="54"/>
      <c r="D199" s="54"/>
      <c r="E199" s="54"/>
      <c r="F199" s="54"/>
      <c r="G199" s="55"/>
      <c r="CC199" s="60"/>
    </row>
    <row r="200" spans="1:81" x14ac:dyDescent="0.35">
      <c r="A200" s="53"/>
      <c r="B200" s="54"/>
      <c r="C200" s="54"/>
      <c r="D200" s="54"/>
      <c r="E200" s="54"/>
      <c r="F200" s="54"/>
      <c r="G200" s="55"/>
      <c r="CC200" s="60"/>
    </row>
    <row r="201" spans="1:81" x14ac:dyDescent="0.35">
      <c r="A201" s="53"/>
      <c r="B201" s="54"/>
      <c r="C201" s="54"/>
      <c r="D201" s="54"/>
      <c r="E201" s="54"/>
      <c r="F201" s="54"/>
      <c r="G201" s="55"/>
      <c r="CC201" s="60"/>
    </row>
    <row r="202" spans="1:81" x14ac:dyDescent="0.35">
      <c r="A202" s="53"/>
      <c r="B202" s="54"/>
      <c r="C202" s="54"/>
      <c r="D202" s="54"/>
      <c r="E202" s="54"/>
      <c r="F202" s="54"/>
      <c r="G202" s="55"/>
      <c r="CC202" s="60"/>
    </row>
    <row r="203" spans="1:81" x14ac:dyDescent="0.35">
      <c r="A203" s="53"/>
      <c r="B203" s="54"/>
      <c r="C203" s="54"/>
      <c r="D203" s="54"/>
      <c r="E203" s="54"/>
      <c r="F203" s="54"/>
      <c r="G203" s="55"/>
      <c r="CC203" s="60"/>
    </row>
    <row r="204" spans="1:81" x14ac:dyDescent="0.35">
      <c r="A204" s="53"/>
      <c r="B204" s="54"/>
      <c r="C204" s="54"/>
      <c r="D204" s="54"/>
      <c r="E204" s="54"/>
      <c r="F204" s="54"/>
      <c r="G204" s="55"/>
      <c r="CC204" s="60"/>
    </row>
    <row r="205" spans="1:81" x14ac:dyDescent="0.35">
      <c r="A205" s="53"/>
      <c r="B205" s="54"/>
      <c r="C205" s="54"/>
      <c r="D205" s="54"/>
      <c r="E205" s="54"/>
      <c r="F205" s="54"/>
      <c r="G205" s="55"/>
      <c r="CC205" s="60"/>
    </row>
    <row r="206" spans="1:81" x14ac:dyDescent="0.35">
      <c r="A206" s="53"/>
      <c r="B206" s="54"/>
      <c r="C206" s="54"/>
      <c r="D206" s="54"/>
      <c r="E206" s="54"/>
      <c r="F206" s="54"/>
      <c r="G206" s="55"/>
      <c r="CC206" s="60"/>
    </row>
    <row r="207" spans="1:81" x14ac:dyDescent="0.35">
      <c r="A207" s="53"/>
      <c r="B207" s="54"/>
      <c r="C207" s="54"/>
      <c r="D207" s="54"/>
      <c r="E207" s="54"/>
      <c r="F207" s="54"/>
      <c r="G207" s="55"/>
      <c r="CC207" s="60"/>
    </row>
    <row r="208" spans="1:81" x14ac:dyDescent="0.35">
      <c r="A208" s="53"/>
      <c r="B208" s="54"/>
      <c r="C208" s="54"/>
      <c r="D208" s="54"/>
      <c r="E208" s="54"/>
      <c r="F208" s="54"/>
      <c r="G208" s="55"/>
      <c r="CC208" s="60"/>
    </row>
    <row r="209" spans="1:7" x14ac:dyDescent="0.35">
      <c r="A209" s="53"/>
      <c r="B209" s="54"/>
      <c r="C209" s="54"/>
      <c r="D209" s="54"/>
      <c r="E209" s="54"/>
      <c r="F209" s="54"/>
      <c r="G209" s="55"/>
    </row>
    <row r="210" spans="1:7" x14ac:dyDescent="0.35">
      <c r="A210" s="53"/>
      <c r="B210" s="54"/>
      <c r="C210" s="54"/>
      <c r="D210" s="54"/>
      <c r="E210" s="54"/>
      <c r="F210" s="54"/>
      <c r="G210" s="55"/>
    </row>
    <row r="211" spans="1:7" x14ac:dyDescent="0.35">
      <c r="A211" s="53"/>
      <c r="B211" s="54"/>
      <c r="C211" s="54"/>
      <c r="D211" s="54"/>
      <c r="E211" s="54"/>
      <c r="F211" s="54"/>
      <c r="G211" s="55"/>
    </row>
    <row r="212" spans="1:7" x14ac:dyDescent="0.35">
      <c r="A212" s="53"/>
      <c r="B212" s="54"/>
      <c r="C212" s="54"/>
      <c r="D212" s="54"/>
      <c r="E212" s="54"/>
      <c r="F212" s="54"/>
      <c r="G212" s="55"/>
    </row>
    <row r="213" spans="1:7" x14ac:dyDescent="0.35">
      <c r="A213" s="53"/>
      <c r="B213" s="54"/>
      <c r="C213" s="54"/>
      <c r="D213" s="54"/>
      <c r="E213" s="54"/>
      <c r="F213" s="54"/>
      <c r="G213" s="55"/>
    </row>
    <row r="214" spans="1:7" x14ac:dyDescent="0.35">
      <c r="A214" s="53"/>
      <c r="B214" s="54"/>
      <c r="C214" s="54"/>
      <c r="D214" s="54"/>
      <c r="E214" s="54"/>
      <c r="F214" s="54"/>
      <c r="G214" s="55"/>
    </row>
    <row r="215" spans="1:7" x14ac:dyDescent="0.35">
      <c r="A215" s="53"/>
      <c r="B215" s="54"/>
      <c r="C215" s="54"/>
      <c r="D215" s="54"/>
      <c r="E215" s="54"/>
      <c r="F215" s="54"/>
      <c r="G215" s="55"/>
    </row>
    <row r="216" spans="1:7" x14ac:dyDescent="0.35">
      <c r="A216" s="53"/>
      <c r="B216" s="54"/>
      <c r="C216" s="54"/>
      <c r="D216" s="54"/>
      <c r="E216" s="54"/>
      <c r="F216" s="54"/>
      <c r="G216" s="55"/>
    </row>
    <row r="217" spans="1:7" x14ac:dyDescent="0.35">
      <c r="A217" s="53"/>
      <c r="B217" s="54"/>
      <c r="C217" s="54"/>
      <c r="D217" s="54"/>
      <c r="E217" s="54"/>
      <c r="F217" s="54"/>
      <c r="G217" s="55"/>
    </row>
    <row r="218" spans="1:7" x14ac:dyDescent="0.35">
      <c r="A218" s="53"/>
      <c r="B218" s="54"/>
      <c r="C218" s="54"/>
      <c r="D218" s="54"/>
      <c r="E218" s="54"/>
      <c r="F218" s="54"/>
      <c r="G218" s="55"/>
    </row>
    <row r="219" spans="1:7" x14ac:dyDescent="0.35">
      <c r="A219" s="53"/>
      <c r="B219" s="54"/>
      <c r="C219" s="54"/>
      <c r="D219" s="54"/>
      <c r="E219" s="54"/>
      <c r="F219" s="54"/>
      <c r="G219" s="55"/>
    </row>
    <row r="220" spans="1:7" x14ac:dyDescent="0.35">
      <c r="A220" s="53"/>
      <c r="B220" s="54"/>
      <c r="C220" s="54"/>
      <c r="D220" s="54"/>
      <c r="E220" s="54"/>
      <c r="F220" s="54"/>
      <c r="G220" s="55"/>
    </row>
    <row r="221" spans="1:7" x14ac:dyDescent="0.35">
      <c r="A221" s="53"/>
      <c r="B221" s="54"/>
      <c r="C221" s="54"/>
      <c r="D221" s="54"/>
      <c r="E221" s="54"/>
      <c r="F221" s="54"/>
      <c r="G221" s="55"/>
    </row>
    <row r="222" spans="1:7" x14ac:dyDescent="0.35">
      <c r="A222" s="53"/>
      <c r="B222" s="54"/>
      <c r="C222" s="54"/>
      <c r="D222" s="54"/>
      <c r="E222" s="54"/>
      <c r="F222" s="54"/>
      <c r="G222" s="55"/>
    </row>
    <row r="223" spans="1:7" x14ac:dyDescent="0.35">
      <c r="A223" s="53"/>
      <c r="B223" s="54"/>
      <c r="C223" s="54"/>
      <c r="D223" s="54"/>
      <c r="E223" s="54"/>
      <c r="F223" s="54"/>
      <c r="G223" s="55"/>
    </row>
    <row r="224" spans="1:7" x14ac:dyDescent="0.35">
      <c r="A224" s="53"/>
      <c r="B224" s="54"/>
      <c r="C224" s="54"/>
      <c r="D224" s="54"/>
      <c r="E224" s="54"/>
      <c r="F224" s="54"/>
      <c r="G224" s="55"/>
    </row>
    <row r="225" spans="1:7" x14ac:dyDescent="0.35">
      <c r="A225" s="53"/>
      <c r="B225" s="54"/>
      <c r="C225" s="54"/>
      <c r="D225" s="54"/>
      <c r="E225" s="54"/>
      <c r="F225" s="54"/>
      <c r="G225" s="55"/>
    </row>
    <row r="226" spans="1:7" x14ac:dyDescent="0.35">
      <c r="A226" s="53"/>
      <c r="B226" s="54"/>
      <c r="C226" s="54"/>
      <c r="D226" s="54"/>
      <c r="E226" s="54"/>
      <c r="F226" s="54"/>
      <c r="G226" s="55"/>
    </row>
    <row r="227" spans="1:7" x14ac:dyDescent="0.35">
      <c r="A227" s="53"/>
      <c r="B227" s="54"/>
      <c r="C227" s="54"/>
      <c r="D227" s="54"/>
      <c r="E227" s="54"/>
      <c r="F227" s="54"/>
      <c r="G227" s="55"/>
    </row>
    <row r="228" spans="1:7" x14ac:dyDescent="0.35">
      <c r="A228" s="53"/>
      <c r="B228" s="54"/>
      <c r="C228" s="54"/>
      <c r="D228" s="54"/>
      <c r="E228" s="54"/>
      <c r="F228" s="54"/>
      <c r="G228" s="55"/>
    </row>
    <row r="229" spans="1:7" x14ac:dyDescent="0.35">
      <c r="A229" s="53"/>
      <c r="B229" s="54"/>
      <c r="C229" s="54"/>
      <c r="D229" s="54"/>
      <c r="E229" s="54"/>
      <c r="F229" s="54"/>
      <c r="G229" s="55"/>
    </row>
    <row r="230" spans="1:7" x14ac:dyDescent="0.35">
      <c r="A230" s="53"/>
      <c r="B230" s="54"/>
      <c r="C230" s="54"/>
      <c r="D230" s="54"/>
      <c r="E230" s="54"/>
      <c r="F230" s="54"/>
      <c r="G230" s="55"/>
    </row>
    <row r="231" spans="1:7" x14ac:dyDescent="0.35">
      <c r="A231" s="53"/>
      <c r="B231" s="54"/>
      <c r="C231" s="54"/>
      <c r="D231" s="54"/>
      <c r="E231" s="54"/>
      <c r="F231" s="54"/>
      <c r="G231" s="55"/>
    </row>
    <row r="232" spans="1:7" x14ac:dyDescent="0.35">
      <c r="A232" s="53"/>
      <c r="B232" s="54"/>
      <c r="C232" s="54"/>
      <c r="D232" s="54"/>
      <c r="E232" s="54"/>
      <c r="F232" s="54"/>
      <c r="G232" s="55"/>
    </row>
    <row r="233" spans="1:7" x14ac:dyDescent="0.35">
      <c r="A233" s="53"/>
      <c r="B233" s="54"/>
      <c r="C233" s="54"/>
      <c r="D233" s="54"/>
      <c r="E233" s="54"/>
      <c r="F233" s="54"/>
      <c r="G233" s="55"/>
    </row>
    <row r="234" spans="1:7" x14ac:dyDescent="0.35">
      <c r="A234" s="53"/>
      <c r="B234" s="54"/>
      <c r="C234" s="54"/>
      <c r="D234" s="54"/>
      <c r="E234" s="54"/>
      <c r="F234" s="54"/>
      <c r="G234" s="55"/>
    </row>
    <row r="235" spans="1:7" x14ac:dyDescent="0.35">
      <c r="A235" s="53"/>
      <c r="B235" s="54"/>
      <c r="C235" s="54"/>
      <c r="D235" s="54"/>
      <c r="E235" s="54"/>
      <c r="F235" s="54"/>
      <c r="G235" s="55"/>
    </row>
    <row r="236" spans="1:7" x14ac:dyDescent="0.35">
      <c r="A236" s="53"/>
      <c r="B236" s="54"/>
      <c r="C236" s="54"/>
      <c r="D236" s="54"/>
      <c r="E236" s="54"/>
      <c r="F236" s="54"/>
      <c r="G236" s="55"/>
    </row>
    <row r="237" spans="1:7" x14ac:dyDescent="0.35">
      <c r="A237" s="53"/>
      <c r="B237" s="54"/>
      <c r="C237" s="54"/>
      <c r="D237" s="54"/>
      <c r="E237" s="54"/>
      <c r="F237" s="54"/>
      <c r="G237" s="55"/>
    </row>
    <row r="238" spans="1:7" x14ac:dyDescent="0.35">
      <c r="A238" s="53"/>
      <c r="B238" s="54"/>
      <c r="C238" s="54"/>
      <c r="D238" s="54"/>
      <c r="E238" s="54"/>
      <c r="F238" s="54"/>
      <c r="G238" s="55"/>
    </row>
    <row r="239" spans="1:7" x14ac:dyDescent="0.35">
      <c r="A239" s="53"/>
      <c r="B239" s="54"/>
      <c r="C239" s="54"/>
      <c r="D239" s="54"/>
      <c r="E239" s="54"/>
      <c r="F239" s="54"/>
      <c r="G239" s="55"/>
    </row>
    <row r="240" spans="1:7" x14ac:dyDescent="0.35">
      <c r="A240" s="53"/>
      <c r="B240" s="54"/>
      <c r="C240" s="54"/>
      <c r="D240" s="54"/>
      <c r="E240" s="54"/>
      <c r="F240" s="54"/>
      <c r="G240" s="55"/>
    </row>
    <row r="241" spans="1:7" x14ac:dyDescent="0.35">
      <c r="A241" s="53"/>
      <c r="B241" s="54"/>
      <c r="C241" s="54"/>
      <c r="D241" s="54"/>
      <c r="E241" s="54"/>
      <c r="F241" s="54"/>
      <c r="G241" s="55"/>
    </row>
    <row r="242" spans="1:7" x14ac:dyDescent="0.35">
      <c r="A242" s="53"/>
      <c r="B242" s="54"/>
      <c r="C242" s="54"/>
      <c r="D242" s="54"/>
      <c r="E242" s="54"/>
      <c r="F242" s="54"/>
      <c r="G242" s="55"/>
    </row>
    <row r="243" spans="1:7" x14ac:dyDescent="0.35">
      <c r="A243" s="53"/>
      <c r="B243" s="54"/>
      <c r="C243" s="54"/>
      <c r="D243" s="54"/>
      <c r="E243" s="54"/>
      <c r="F243" s="54"/>
      <c r="G243" s="55"/>
    </row>
    <row r="244" spans="1:7" x14ac:dyDescent="0.35">
      <c r="A244" s="53"/>
      <c r="B244" s="54"/>
      <c r="C244" s="54"/>
      <c r="D244" s="54"/>
      <c r="E244" s="54"/>
      <c r="F244" s="54"/>
      <c r="G244" s="55"/>
    </row>
    <row r="245" spans="1:7" x14ac:dyDescent="0.35">
      <c r="A245" s="53"/>
      <c r="B245" s="54"/>
      <c r="C245" s="54"/>
      <c r="D245" s="54"/>
      <c r="E245" s="54"/>
      <c r="F245" s="54"/>
      <c r="G245" s="55"/>
    </row>
    <row r="246" spans="1:7" x14ac:dyDescent="0.35">
      <c r="A246" s="53"/>
      <c r="B246" s="54"/>
      <c r="C246" s="54"/>
      <c r="D246" s="54"/>
      <c r="E246" s="54"/>
      <c r="F246" s="54"/>
      <c r="G246" s="55"/>
    </row>
    <row r="247" spans="1:7" x14ac:dyDescent="0.35">
      <c r="A247" s="53"/>
      <c r="B247" s="54"/>
      <c r="C247" s="54"/>
      <c r="D247" s="54"/>
      <c r="E247" s="54"/>
      <c r="F247" s="54"/>
      <c r="G247" s="55"/>
    </row>
    <row r="248" spans="1:7" x14ac:dyDescent="0.35">
      <c r="A248" s="53"/>
      <c r="B248" s="54"/>
      <c r="C248" s="54"/>
      <c r="D248" s="54"/>
      <c r="E248" s="54"/>
      <c r="F248" s="54"/>
      <c r="G248" s="55"/>
    </row>
    <row r="249" spans="1:7" x14ac:dyDescent="0.35">
      <c r="A249" s="53"/>
      <c r="B249" s="54"/>
      <c r="C249" s="54"/>
      <c r="D249" s="54"/>
      <c r="E249" s="54"/>
      <c r="F249" s="54"/>
      <c r="G249" s="55"/>
    </row>
    <row r="250" spans="1:7" x14ac:dyDescent="0.35">
      <c r="A250" s="53"/>
      <c r="B250" s="54"/>
      <c r="C250" s="54"/>
      <c r="D250" s="54"/>
      <c r="E250" s="54"/>
      <c r="F250" s="54"/>
      <c r="G250" s="55"/>
    </row>
    <row r="251" spans="1:7" x14ac:dyDescent="0.35">
      <c r="A251" s="53"/>
      <c r="B251" s="54"/>
      <c r="C251" s="54"/>
      <c r="D251" s="54"/>
      <c r="E251" s="54"/>
      <c r="F251" s="54"/>
      <c r="G251" s="55"/>
    </row>
    <row r="252" spans="1:7" x14ac:dyDescent="0.35">
      <c r="A252" s="53"/>
      <c r="B252" s="54"/>
      <c r="C252" s="54"/>
      <c r="D252" s="54"/>
      <c r="E252" s="54"/>
      <c r="F252" s="54"/>
      <c r="G252" s="55"/>
    </row>
    <row r="253" spans="1:7" x14ac:dyDescent="0.35">
      <c r="A253" s="53"/>
      <c r="B253" s="54"/>
      <c r="C253" s="54"/>
      <c r="D253" s="54"/>
      <c r="E253" s="54"/>
      <c r="F253" s="54"/>
      <c r="G253" s="55"/>
    </row>
    <row r="254" spans="1:7" x14ac:dyDescent="0.35">
      <c r="A254" s="53"/>
      <c r="B254" s="54"/>
      <c r="C254" s="54"/>
      <c r="D254" s="54"/>
      <c r="E254" s="54"/>
      <c r="F254" s="54"/>
      <c r="G254" s="55"/>
    </row>
    <row r="255" spans="1:7" x14ac:dyDescent="0.35">
      <c r="A255" s="53"/>
      <c r="B255" s="54"/>
      <c r="C255" s="54"/>
      <c r="D255" s="54"/>
      <c r="E255" s="54"/>
      <c r="F255" s="54"/>
      <c r="G255" s="55"/>
    </row>
    <row r="256" spans="1:7" x14ac:dyDescent="0.35">
      <c r="A256" s="53"/>
      <c r="B256" s="54"/>
      <c r="C256" s="54"/>
      <c r="D256" s="54"/>
      <c r="E256" s="54"/>
      <c r="F256" s="54"/>
      <c r="G256" s="55"/>
    </row>
    <row r="257" spans="1:7" x14ac:dyDescent="0.35">
      <c r="A257" s="53"/>
      <c r="B257" s="54"/>
      <c r="C257" s="54"/>
      <c r="D257" s="54"/>
      <c r="E257" s="54"/>
      <c r="F257" s="54"/>
      <c r="G257" s="55"/>
    </row>
    <row r="258" spans="1:7" x14ac:dyDescent="0.35">
      <c r="A258" s="53"/>
      <c r="B258" s="54"/>
      <c r="C258" s="54"/>
      <c r="D258" s="54"/>
      <c r="E258" s="54"/>
      <c r="F258" s="54"/>
      <c r="G258" s="55"/>
    </row>
    <row r="259" spans="1:7" x14ac:dyDescent="0.35">
      <c r="A259" s="53"/>
      <c r="B259" s="54"/>
      <c r="C259" s="54"/>
      <c r="D259" s="54"/>
      <c r="E259" s="54"/>
      <c r="F259" s="54"/>
      <c r="G259" s="55"/>
    </row>
    <row r="260" spans="1:7" x14ac:dyDescent="0.35">
      <c r="A260" s="53"/>
      <c r="B260" s="54"/>
      <c r="C260" s="54"/>
      <c r="D260" s="54"/>
      <c r="E260" s="54"/>
      <c r="F260" s="54"/>
      <c r="G260" s="55"/>
    </row>
    <row r="261" spans="1:7" x14ac:dyDescent="0.35">
      <c r="A261" s="53"/>
      <c r="B261" s="54"/>
      <c r="C261" s="54"/>
      <c r="D261" s="54"/>
      <c r="E261" s="54"/>
      <c r="F261" s="54"/>
      <c r="G261" s="55"/>
    </row>
    <row r="262" spans="1:7" x14ac:dyDescent="0.35">
      <c r="A262" s="53"/>
      <c r="B262" s="54"/>
      <c r="C262" s="54"/>
      <c r="D262" s="54"/>
      <c r="E262" s="54"/>
      <c r="F262" s="54"/>
      <c r="G262" s="55"/>
    </row>
    <row r="263" spans="1:7" x14ac:dyDescent="0.35">
      <c r="A263" s="53"/>
      <c r="B263" s="54"/>
      <c r="C263" s="54"/>
      <c r="D263" s="54"/>
      <c r="E263" s="54"/>
      <c r="F263" s="54"/>
      <c r="G263" s="55"/>
    </row>
    <row r="264" spans="1:7" x14ac:dyDescent="0.35">
      <c r="A264" s="53"/>
      <c r="B264" s="54"/>
      <c r="C264" s="54"/>
      <c r="D264" s="54"/>
      <c r="E264" s="54"/>
      <c r="F264" s="54"/>
      <c r="G264" s="55"/>
    </row>
    <row r="265" spans="1:7" x14ac:dyDescent="0.35">
      <c r="A265" s="53"/>
      <c r="B265" s="54"/>
      <c r="C265" s="54"/>
      <c r="D265" s="54"/>
      <c r="E265" s="54"/>
      <c r="F265" s="54"/>
      <c r="G265" s="55"/>
    </row>
    <row r="266" spans="1:7" x14ac:dyDescent="0.35">
      <c r="A266" s="53"/>
      <c r="B266" s="54"/>
      <c r="C266" s="54"/>
      <c r="D266" s="54"/>
      <c r="E266" s="54"/>
      <c r="F266" s="54"/>
      <c r="G266" s="55"/>
    </row>
    <row r="267" spans="1:7" x14ac:dyDescent="0.35">
      <c r="A267" s="53"/>
      <c r="B267" s="54"/>
      <c r="C267" s="54"/>
      <c r="D267" s="54"/>
      <c r="E267" s="54"/>
      <c r="F267" s="54"/>
      <c r="G267" s="55"/>
    </row>
    <row r="268" spans="1:7" x14ac:dyDescent="0.35">
      <c r="A268" s="53"/>
      <c r="B268" s="54"/>
      <c r="C268" s="54"/>
      <c r="D268" s="54"/>
      <c r="E268" s="54"/>
      <c r="F268" s="54"/>
      <c r="G268" s="55"/>
    </row>
    <row r="269" spans="1:7" x14ac:dyDescent="0.35">
      <c r="A269" s="53"/>
      <c r="B269" s="54"/>
      <c r="C269" s="54"/>
      <c r="D269" s="54"/>
      <c r="E269" s="54"/>
      <c r="F269" s="54"/>
      <c r="G269" s="55"/>
    </row>
    <row r="270" spans="1:7" x14ac:dyDescent="0.35">
      <c r="A270" s="53"/>
      <c r="B270" s="54"/>
      <c r="C270" s="54"/>
      <c r="D270" s="54"/>
      <c r="E270" s="54"/>
      <c r="F270" s="54"/>
      <c r="G270" s="55"/>
    </row>
    <row r="271" spans="1:7" x14ac:dyDescent="0.35">
      <c r="A271" s="53"/>
      <c r="B271" s="54"/>
      <c r="C271" s="54"/>
      <c r="D271" s="54"/>
      <c r="E271" s="54"/>
      <c r="F271" s="54"/>
      <c r="G271" s="55"/>
    </row>
    <row r="272" spans="1:7" x14ac:dyDescent="0.35">
      <c r="A272" s="53"/>
      <c r="B272" s="54"/>
      <c r="C272" s="54"/>
      <c r="D272" s="54"/>
      <c r="E272" s="54"/>
      <c r="F272" s="54"/>
      <c r="G272" s="55"/>
    </row>
    <row r="273" spans="1:7" x14ac:dyDescent="0.35">
      <c r="A273" s="53"/>
      <c r="B273" s="54"/>
      <c r="C273" s="54"/>
      <c r="D273" s="54"/>
      <c r="E273" s="54"/>
      <c r="F273" s="54"/>
      <c r="G273" s="55"/>
    </row>
    <row r="274" spans="1:7" x14ac:dyDescent="0.35">
      <c r="A274" s="53"/>
      <c r="B274" s="54"/>
      <c r="C274" s="54"/>
      <c r="D274" s="54"/>
      <c r="E274" s="54"/>
      <c r="F274" s="54"/>
      <c r="G274" s="55"/>
    </row>
    <row r="275" spans="1:7" x14ac:dyDescent="0.35">
      <c r="A275" s="53"/>
      <c r="B275" s="54"/>
      <c r="C275" s="54"/>
      <c r="D275" s="54"/>
      <c r="E275" s="54"/>
      <c r="F275" s="54"/>
      <c r="G275" s="55"/>
    </row>
    <row r="276" spans="1:7" x14ac:dyDescent="0.35">
      <c r="A276" s="53"/>
      <c r="B276" s="54"/>
      <c r="C276" s="54"/>
      <c r="D276" s="54"/>
      <c r="E276" s="54"/>
      <c r="F276" s="54"/>
      <c r="G276" s="55"/>
    </row>
    <row r="277" spans="1:7" x14ac:dyDescent="0.35">
      <c r="A277" s="53"/>
      <c r="B277" s="54"/>
      <c r="C277" s="54"/>
      <c r="D277" s="54"/>
      <c r="E277" s="54"/>
      <c r="F277" s="54"/>
      <c r="G277" s="55"/>
    </row>
    <row r="278" spans="1:7" x14ac:dyDescent="0.35">
      <c r="A278" s="53"/>
      <c r="B278" s="54"/>
      <c r="C278" s="54"/>
      <c r="D278" s="54"/>
      <c r="E278" s="54"/>
      <c r="F278" s="54"/>
      <c r="G278" s="55"/>
    </row>
    <row r="279" spans="1:7" x14ac:dyDescent="0.35">
      <c r="A279" s="53"/>
      <c r="B279" s="54"/>
      <c r="C279" s="54"/>
      <c r="D279" s="54"/>
      <c r="E279" s="54"/>
      <c r="F279" s="54"/>
      <c r="G279" s="55"/>
    </row>
    <row r="280" spans="1:7" x14ac:dyDescent="0.35">
      <c r="A280" s="53"/>
      <c r="B280" s="54"/>
      <c r="C280" s="54"/>
      <c r="D280" s="54"/>
      <c r="E280" s="54"/>
      <c r="F280" s="54"/>
      <c r="G280" s="55"/>
    </row>
    <row r="281" spans="1:7" x14ac:dyDescent="0.35">
      <c r="A281" s="53"/>
      <c r="B281" s="54"/>
      <c r="C281" s="54"/>
      <c r="D281" s="54"/>
      <c r="E281" s="54"/>
      <c r="F281" s="54"/>
      <c r="G281" s="55"/>
    </row>
    <row r="282" spans="1:7" x14ac:dyDescent="0.35">
      <c r="A282" s="53"/>
      <c r="B282" s="54"/>
      <c r="C282" s="54"/>
      <c r="D282" s="54"/>
      <c r="E282" s="54"/>
      <c r="F282" s="54"/>
      <c r="G282" s="55"/>
    </row>
    <row r="283" spans="1:7" x14ac:dyDescent="0.35">
      <c r="A283" s="53"/>
      <c r="B283" s="54"/>
      <c r="C283" s="54"/>
      <c r="D283" s="54"/>
      <c r="E283" s="54"/>
      <c r="F283" s="54"/>
      <c r="G283" s="55"/>
    </row>
    <row r="284" spans="1:7" x14ac:dyDescent="0.35">
      <c r="A284" s="53"/>
      <c r="B284" s="54"/>
      <c r="C284" s="54"/>
      <c r="D284" s="54"/>
      <c r="E284" s="54"/>
      <c r="F284" s="54"/>
      <c r="G284" s="55"/>
    </row>
    <row r="285" spans="1:7" x14ac:dyDescent="0.35">
      <c r="A285" s="56"/>
      <c r="B285" s="57"/>
      <c r="C285" s="57"/>
      <c r="D285" s="57"/>
      <c r="E285" s="57"/>
      <c r="F285" s="57"/>
      <c r="G285" s="58"/>
    </row>
  </sheetData>
  <phoneticPr fontId="7" type="noConversion"/>
  <conditionalFormatting sqref="Q75:Q78 H80 H82:H90">
    <cfRule type="colorScale" priority="13">
      <colorScale>
        <cfvo type="min"/>
        <cfvo type="percentile" val="50"/>
        <cfvo type="max"/>
        <color rgb="FFF8696B"/>
        <color rgb="FFFFEB84"/>
        <color rgb="FF63BE7B"/>
      </colorScale>
    </cfRule>
  </conditionalFormatting>
  <conditionalFormatting sqref="Q75:R78 H80:I80 H82:I90">
    <cfRule type="colorScale" priority="14">
      <colorScale>
        <cfvo type="min"/>
        <cfvo type="percentile" val="50"/>
        <cfvo type="max"/>
        <color rgb="FFF8696B"/>
        <color rgb="FFFFEB84"/>
        <color rgb="FF63BE7B"/>
      </colorScale>
    </cfRule>
  </conditionalFormatting>
  <conditionalFormatting sqref="CD196:CD199">
    <cfRule type="colorScale" priority="55">
      <colorScale>
        <cfvo type="min"/>
        <cfvo type="percentile" val="50"/>
        <cfvo type="max"/>
        <color rgb="FFF8696B"/>
        <color rgb="FFFFEB84"/>
        <color rgb="FF63BE7B"/>
      </colorScale>
    </cfRule>
  </conditionalFormatting>
  <conditionalFormatting sqref="CD196:CE199">
    <cfRule type="colorScale" priority="56">
      <colorScale>
        <cfvo type="min"/>
        <cfvo type="percentile" val="50"/>
        <cfvo type="max"/>
        <color rgb="FFF8696B"/>
        <color rgb="FFFFEB84"/>
        <color rgb="FF63BE7B"/>
      </colorScale>
    </cfRule>
  </conditionalFormatting>
  <conditionalFormatting sqref="Y49:Y56">
    <cfRule type="colorScale" priority="57">
      <colorScale>
        <cfvo type="min"/>
        <cfvo type="percentile" val="50"/>
        <cfvo type="max"/>
        <color rgb="FFF8696B"/>
        <color rgb="FFFFEB84"/>
        <color rgb="FF63BE7B"/>
      </colorScale>
    </cfRule>
  </conditionalFormatting>
  <conditionalFormatting sqref="Y49:Z56">
    <cfRule type="colorScale" priority="58">
      <colorScale>
        <cfvo type="min"/>
        <cfvo type="percentile" val="50"/>
        <cfvo type="max"/>
        <color rgb="FFF8696B"/>
        <color rgb="FFFFEB84"/>
        <color rgb="FF63BE7B"/>
      </colorScale>
    </cfRule>
  </conditionalFormatting>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D303B-E694-4656-B419-02AE8543CBF1}">
  <sheetPr codeName="Sheet2"/>
  <dimension ref="E1:AW86"/>
  <sheetViews>
    <sheetView topLeftCell="C1" zoomScale="51" zoomScaleNormal="145" workbookViewId="0">
      <selection activeCell="E6" sqref="E6"/>
    </sheetView>
  </sheetViews>
  <sheetFormatPr defaultRowHeight="14.5" x14ac:dyDescent="0.35"/>
  <cols>
    <col min="1" max="1" width="15.6328125" style="21" bestFit="1" customWidth="1"/>
    <col min="2" max="2" width="11.81640625" style="21" bestFit="1" customWidth="1"/>
    <col min="3" max="3" width="8.7265625" style="21"/>
    <col min="4" max="4" width="2.26953125" style="21" customWidth="1"/>
    <col min="5" max="5" width="74.6328125" style="21" customWidth="1"/>
    <col min="6" max="6" width="6.08984375" style="21" customWidth="1"/>
    <col min="7" max="7" width="74.90625" style="21" customWidth="1"/>
    <col min="8" max="8" width="6.1796875" style="21" customWidth="1"/>
    <col min="9" max="9" width="83.453125" style="21" customWidth="1"/>
    <col min="10" max="10" width="22.81640625" style="21" bestFit="1" customWidth="1"/>
    <col min="11" max="11" width="8.7265625" style="21"/>
    <col min="12" max="12" width="14.36328125" style="21" bestFit="1" customWidth="1"/>
    <col min="13" max="16384" width="8.7265625" style="21"/>
  </cols>
  <sheetData>
    <row r="1" spans="5:49" ht="15" thickBot="1" x14ac:dyDescent="0.4"/>
    <row r="2" spans="5:49" ht="92.5" thickBot="1" x14ac:dyDescent="0.4">
      <c r="E2" s="141" t="s">
        <v>561</v>
      </c>
      <c r="F2" s="142"/>
      <c r="G2" s="142"/>
      <c r="H2" s="142"/>
      <c r="I2" s="143"/>
    </row>
    <row r="3" spans="5:49" ht="15" thickBot="1" x14ac:dyDescent="0.4">
      <c r="E3" s="144"/>
      <c r="F3" s="145"/>
      <c r="G3" s="145"/>
      <c r="H3" s="145"/>
      <c r="I3" s="146"/>
      <c r="AT3" s="22"/>
      <c r="AU3" s="22"/>
      <c r="AV3" s="23"/>
    </row>
    <row r="4" spans="5:49" ht="15" thickBot="1" x14ac:dyDescent="0.4">
      <c r="E4" s="147"/>
      <c r="F4" s="148"/>
      <c r="G4" s="148"/>
      <c r="H4" s="148"/>
      <c r="I4" s="149"/>
    </row>
    <row r="5" spans="5:49" ht="40" customHeight="1" thickBot="1" x14ac:dyDescent="0.4">
      <c r="E5" s="16" t="s">
        <v>564</v>
      </c>
      <c r="F5" s="24"/>
      <c r="G5" s="140" t="s">
        <v>560</v>
      </c>
      <c r="H5" s="24"/>
      <c r="I5" s="16" t="s">
        <v>559</v>
      </c>
      <c r="J5" s="25"/>
      <c r="K5" s="25"/>
    </row>
    <row r="6" spans="5:49" ht="40" customHeight="1" thickBot="1" x14ac:dyDescent="0.4">
      <c r="E6" s="16" t="s">
        <v>140</v>
      </c>
      <c r="F6" s="24"/>
      <c r="G6" s="140"/>
      <c r="H6" s="24"/>
      <c r="I6" s="16" t="s">
        <v>80</v>
      </c>
      <c r="J6" s="25"/>
      <c r="K6" s="25"/>
    </row>
    <row r="7" spans="5:49" ht="32.5" customHeight="1" thickBot="1" x14ac:dyDescent="0.4">
      <c r="E7" s="44"/>
      <c r="F7" s="45"/>
      <c r="G7" s="45"/>
      <c r="H7" s="45"/>
      <c r="I7" s="46"/>
    </row>
    <row r="8" spans="5:49" ht="92.5" customHeight="1" thickBot="1" x14ac:dyDescent="0.4">
      <c r="E8" s="150" t="s">
        <v>565</v>
      </c>
      <c r="F8" s="151"/>
      <c r="G8" s="151"/>
      <c r="H8" s="151"/>
      <c r="I8" s="152"/>
    </row>
    <row r="9" spans="5:49" ht="40" customHeight="1" thickBot="1" x14ac:dyDescent="0.4">
      <c r="E9" s="47"/>
      <c r="F9" s="48"/>
      <c r="G9" s="48"/>
      <c r="H9" s="48"/>
      <c r="I9" s="49"/>
    </row>
    <row r="10" spans="5:49" ht="40" customHeight="1" thickBot="1" x14ac:dyDescent="0.4">
      <c r="E10" s="17" t="s">
        <v>1</v>
      </c>
      <c r="F10" s="28"/>
      <c r="G10" s="17" t="str">
        <f>VLOOKUP($E$6,Data!$A:$H,2,FALSE)</f>
        <v>WAR</v>
      </c>
      <c r="H10" s="27"/>
      <c r="I10" s="17" t="str">
        <f>VLOOKUP($I$6,Data!$A:$H,2,FALSE)</f>
        <v>GLIDR</v>
      </c>
    </row>
    <row r="11" spans="5:49" ht="51.5" customHeight="1" thickBot="1" x14ac:dyDescent="0.8">
      <c r="E11" s="18" t="s">
        <v>562</v>
      </c>
      <c r="F11" s="24"/>
      <c r="G11" s="29">
        <f>VLOOKUP($E$6,Data!$A:$H,3,FALSE)</f>
        <v>1E-3</v>
      </c>
      <c r="H11" s="30"/>
      <c r="I11" s="29">
        <f>VLOOKUP($I$6,Data!$A:$H,3,FALSE)</f>
        <v>0.97740000000000005</v>
      </c>
      <c r="AV11" s="32"/>
      <c r="AW11" s="32"/>
    </row>
    <row r="12" spans="5:49" ht="51.5" customHeight="1" thickBot="1" x14ac:dyDescent="0.8">
      <c r="E12" s="16" t="s">
        <v>563</v>
      </c>
      <c r="F12" s="24"/>
      <c r="G12" s="29">
        <f>VLOOKUP($E$6,Data!$A:$H,6,FALSE)</f>
        <v>931081</v>
      </c>
      <c r="H12" s="30"/>
      <c r="I12" s="29">
        <f>VLOOKUP($I$6,Data!$A:$H,6,FALSE)</f>
        <v>126253</v>
      </c>
      <c r="AV12" s="36"/>
      <c r="AW12" s="36"/>
    </row>
    <row r="13" spans="5:49" ht="51.5" customHeight="1" thickBot="1" x14ac:dyDescent="0.8">
      <c r="E13" s="19" t="s">
        <v>4</v>
      </c>
      <c r="F13" s="24"/>
      <c r="G13" s="29">
        <f>VLOOKUP($E$6,Data!$A:$H,5,FALSE)</f>
        <v>975625</v>
      </c>
      <c r="H13" s="30"/>
      <c r="I13" s="29">
        <f>VLOOKUP($I$6,Data!$A:$H,5,FALSE)</f>
        <v>34660676</v>
      </c>
      <c r="AV13" s="36"/>
      <c r="AW13" s="36"/>
    </row>
    <row r="14" spans="5:49" ht="51.5" customHeight="1" thickBot="1" x14ac:dyDescent="0.4">
      <c r="E14" s="20" t="s">
        <v>155</v>
      </c>
      <c r="F14" s="26"/>
      <c r="G14" s="41">
        <f>VLOOKUP($E$6,Data!$A:$H,8,FALSE)</f>
        <v>1000000000</v>
      </c>
      <c r="H14" s="31"/>
      <c r="I14" s="41">
        <f>VLOOKUP($I$6,Data!$A:$H,8,FALSE)</f>
        <v>35460000</v>
      </c>
      <c r="AV14" s="37"/>
      <c r="AW14" s="37"/>
    </row>
    <row r="15" spans="5:49" ht="33.5" x14ac:dyDescent="0.35">
      <c r="E15" s="33"/>
      <c r="H15" s="34"/>
      <c r="I15" s="35"/>
    </row>
    <row r="16" spans="5:49" ht="30.5" customHeight="1" x14ac:dyDescent="0.35"/>
    <row r="17" spans="5:49" ht="30" customHeight="1" x14ac:dyDescent="0.35"/>
    <row r="18" spans="5:49" ht="30" customHeight="1" x14ac:dyDescent="0.35"/>
    <row r="19" spans="5:49" ht="30" customHeight="1" x14ac:dyDescent="0.35"/>
    <row r="20" spans="5:49" ht="11.5" customHeight="1" x14ac:dyDescent="0.35"/>
    <row r="21" spans="5:49" ht="30" customHeight="1" thickBot="1" x14ac:dyDescent="0.4">
      <c r="E21" s="38"/>
      <c r="F21" s="39"/>
      <c r="G21" s="39"/>
      <c r="H21" s="39"/>
      <c r="I21" s="40"/>
    </row>
    <row r="31" spans="5:49" x14ac:dyDescent="0.35">
      <c r="AV31" s="36"/>
      <c r="AW31" s="36"/>
    </row>
    <row r="83" spans="7:7" x14ac:dyDescent="0.35">
      <c r="G83" s="42">
        <f>ABS(G11-I11)</f>
        <v>0.97640000000000005</v>
      </c>
    </row>
    <row r="84" spans="7:7" x14ac:dyDescent="0.35">
      <c r="G84" s="42">
        <f>ABS(G12-I12)</f>
        <v>804828</v>
      </c>
    </row>
    <row r="85" spans="7:7" x14ac:dyDescent="0.35">
      <c r="G85" s="42">
        <f>ABS(G13-I13)</f>
        <v>33685051</v>
      </c>
    </row>
    <row r="86" spans="7:7" x14ac:dyDescent="0.35">
      <c r="G86" s="43">
        <f>ABS(G14-I14)</f>
        <v>964540000</v>
      </c>
    </row>
  </sheetData>
  <mergeCells count="4">
    <mergeCell ref="G5:G6"/>
    <mergeCell ref="E2:I2"/>
    <mergeCell ref="E3:I4"/>
    <mergeCell ref="E8:I8"/>
  </mergeCells>
  <conditionalFormatting sqref="G11:G14">
    <cfRule type="expression" dxfId="336" priority="45">
      <formula>$G11&lt;$I11</formula>
    </cfRule>
    <cfRule type="expression" dxfId="335" priority="46">
      <formula>$G11&gt;$I11</formula>
    </cfRule>
  </conditionalFormatting>
  <conditionalFormatting sqref="I11:I14">
    <cfRule type="expression" dxfId="334" priority="47">
      <formula>$I11&lt;$G11</formula>
    </cfRule>
    <cfRule type="expression" dxfId="333" priority="48">
      <formula>$I11&gt;$G11</formula>
    </cfRule>
  </conditionalFormatting>
  <dataValidations count="1">
    <dataValidation type="list" allowBlank="1" showInputMessage="1" showErrorMessage="1" promptTitle="Select Coin" prompt="Choose a crypto coin from the dropdown list." sqref="C2" xr:uid="{4E524054-68EA-4891-B49F-2A6B62E76C72}">
      <formula1>#REF!</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promptTitle="Select Coin" prompt="Choose a crypto coin from the dropdown list." xr:uid="{E57E0902-8355-4D4E-BBF6-6D12AEB75044}">
          <x14:formula1>
            <xm:f>Data_2!$A$2:$A$500</xm:f>
          </x14:formula1>
          <xm:sqref>I6</xm:sqref>
        </x14:dataValidation>
        <x14:dataValidation type="list" allowBlank="1" showInputMessage="1" showErrorMessage="1" promptTitle="Select Coin" prompt="Choose a crypto coin from the dropdown list." xr:uid="{FED288D9-726F-4426-8839-3FA471251672}">
          <x14:formula1>
            <xm:f>Data_2!$A$2:$A$300</xm:f>
          </x14:formula1>
          <xm:sqref>E6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AA033-FFFD-4B69-9CB3-08133A248650}">
  <sheetPr codeName="Sheet4"/>
  <dimension ref="C1:AI424"/>
  <sheetViews>
    <sheetView topLeftCell="B1" zoomScale="63" zoomScaleNormal="10" workbookViewId="0">
      <selection activeCell="Y17" sqref="Y17"/>
    </sheetView>
  </sheetViews>
  <sheetFormatPr defaultRowHeight="14.5" x14ac:dyDescent="0.35"/>
  <cols>
    <col min="1" max="1" width="23.36328125" style="15" customWidth="1"/>
    <col min="2" max="2" width="12.7265625" style="15" customWidth="1"/>
    <col min="3" max="3" width="8.7265625" style="15"/>
    <col min="4" max="4" width="23.7265625" style="15" bestFit="1" customWidth="1"/>
    <col min="5" max="5" width="41" style="15" bestFit="1" customWidth="1"/>
    <col min="6" max="7" width="8.7265625" style="15"/>
    <col min="8" max="8" width="8.7265625" style="15" customWidth="1"/>
    <col min="9" max="9" width="12.453125" style="15" bestFit="1" customWidth="1"/>
    <col min="10" max="20" width="8.7265625" style="15"/>
    <col min="21" max="21" width="26.7265625" style="15" hidden="1" customWidth="1"/>
    <col min="22" max="22" width="43.08984375" style="15" hidden="1" customWidth="1"/>
    <col min="23" max="24" width="8.7265625" style="15"/>
    <col min="25" max="25" width="48.81640625" style="15" bestFit="1" customWidth="1"/>
    <col min="26" max="26" width="23" style="15" bestFit="1" customWidth="1"/>
    <col min="27" max="34" width="8.7265625" style="15"/>
    <col min="35" max="35" width="14" style="15" bestFit="1" customWidth="1"/>
    <col min="36" max="16384" width="8.7265625" style="15"/>
  </cols>
  <sheetData>
    <row r="1" spans="3:18" ht="15" thickBot="1" x14ac:dyDescent="0.4"/>
    <row r="2" spans="3:18" ht="15" thickTop="1" x14ac:dyDescent="0.35">
      <c r="C2" s="75"/>
      <c r="D2" s="76"/>
      <c r="E2" s="76"/>
      <c r="F2" s="76"/>
      <c r="G2" s="76"/>
      <c r="H2" s="76"/>
      <c r="I2" s="76"/>
      <c r="J2" s="76"/>
      <c r="K2" s="76"/>
      <c r="L2" s="76"/>
      <c r="M2" s="76"/>
      <c r="N2" s="76"/>
      <c r="O2" s="76"/>
      <c r="P2" s="76"/>
      <c r="Q2" s="76"/>
      <c r="R2" s="77"/>
    </row>
    <row r="3" spans="3:18" x14ac:dyDescent="0.35">
      <c r="C3" s="78"/>
      <c r="D3" s="79"/>
      <c r="E3" s="79"/>
      <c r="F3" s="79"/>
      <c r="G3" s="79"/>
      <c r="H3" s="79"/>
      <c r="I3" s="79"/>
      <c r="J3" s="79"/>
      <c r="K3" s="79"/>
      <c r="L3" s="79"/>
      <c r="M3" s="79"/>
      <c r="N3" s="79"/>
      <c r="O3" s="79"/>
      <c r="P3" s="79"/>
      <c r="Q3" s="79"/>
      <c r="R3" s="80"/>
    </row>
    <row r="4" spans="3:18" x14ac:dyDescent="0.35">
      <c r="C4" s="78"/>
      <c r="D4" s="79"/>
      <c r="E4" s="79"/>
      <c r="F4" s="79"/>
      <c r="G4" s="79"/>
      <c r="H4" s="79"/>
      <c r="I4" s="79"/>
      <c r="J4" s="79"/>
      <c r="K4" s="79"/>
      <c r="L4" s="79"/>
      <c r="M4" s="79"/>
      <c r="N4" s="79"/>
      <c r="O4" s="79"/>
      <c r="P4" s="79"/>
      <c r="Q4" s="79"/>
      <c r="R4" s="80"/>
    </row>
    <row r="5" spans="3:18" x14ac:dyDescent="0.35">
      <c r="C5" s="78"/>
      <c r="D5" s="79"/>
      <c r="E5" s="79"/>
      <c r="F5" s="79"/>
      <c r="G5" s="79"/>
      <c r="H5" s="79"/>
      <c r="I5" s="79"/>
      <c r="J5" s="79"/>
      <c r="K5" s="79"/>
      <c r="L5" s="79"/>
      <c r="M5" s="79"/>
      <c r="N5" s="79"/>
      <c r="O5" s="79"/>
      <c r="P5" s="79"/>
      <c r="Q5" s="79"/>
      <c r="R5" s="80"/>
    </row>
    <row r="6" spans="3:18" x14ac:dyDescent="0.35">
      <c r="C6" s="78"/>
      <c r="D6" s="79"/>
      <c r="E6" s="79"/>
      <c r="F6" s="79"/>
      <c r="G6" s="79"/>
      <c r="H6" s="79"/>
      <c r="I6" s="79"/>
      <c r="J6" s="79"/>
      <c r="K6" s="79"/>
      <c r="L6" s="79"/>
      <c r="M6" s="79"/>
      <c r="N6" s="79"/>
      <c r="O6" s="79"/>
      <c r="P6" s="79"/>
      <c r="Q6" s="79"/>
      <c r="R6" s="80"/>
    </row>
    <row r="7" spans="3:18" x14ac:dyDescent="0.35">
      <c r="C7" s="78"/>
      <c r="D7" s="79"/>
      <c r="E7" s="79"/>
      <c r="F7" s="79"/>
      <c r="G7" s="79"/>
      <c r="H7" s="79"/>
      <c r="I7" s="79"/>
      <c r="J7" s="79"/>
      <c r="K7" s="79"/>
      <c r="L7" s="79"/>
      <c r="M7" s="79"/>
      <c r="N7" s="79"/>
      <c r="O7" s="79"/>
      <c r="P7" s="79"/>
      <c r="Q7" s="79"/>
      <c r="R7" s="80"/>
    </row>
    <row r="8" spans="3:18" x14ac:dyDescent="0.35">
      <c r="C8" s="78"/>
      <c r="D8" s="79"/>
      <c r="E8" s="79"/>
      <c r="F8" s="79"/>
      <c r="G8" s="79"/>
      <c r="H8" s="79"/>
      <c r="I8" s="79"/>
      <c r="J8" s="79"/>
      <c r="K8" s="79"/>
      <c r="L8" s="79"/>
      <c r="M8" s="79"/>
      <c r="N8" s="79"/>
      <c r="O8" s="79"/>
      <c r="P8" s="79"/>
      <c r="Q8" s="79"/>
      <c r="R8" s="80"/>
    </row>
    <row r="9" spans="3:18" x14ac:dyDescent="0.35">
      <c r="C9" s="78"/>
      <c r="D9" s="79"/>
      <c r="E9" s="79"/>
      <c r="F9" s="79"/>
      <c r="G9" s="79"/>
      <c r="H9" s="79"/>
      <c r="I9" s="79"/>
      <c r="J9" s="79"/>
      <c r="K9" s="79"/>
      <c r="L9" s="79"/>
      <c r="M9" s="79"/>
      <c r="N9" s="79"/>
      <c r="O9" s="79"/>
      <c r="P9" s="79"/>
      <c r="Q9" s="79"/>
      <c r="R9" s="80"/>
    </row>
    <row r="10" spans="3:18" x14ac:dyDescent="0.35">
      <c r="C10" s="78"/>
      <c r="D10" s="79"/>
      <c r="E10" s="79"/>
      <c r="F10" s="79"/>
      <c r="G10" s="79"/>
      <c r="H10" s="79"/>
      <c r="I10" s="79"/>
      <c r="J10" s="79"/>
      <c r="K10" s="79"/>
      <c r="L10" s="79"/>
      <c r="M10" s="79"/>
      <c r="N10" s="79"/>
      <c r="O10" s="79"/>
      <c r="P10" s="79"/>
      <c r="Q10" s="79"/>
      <c r="R10" s="80"/>
    </row>
    <row r="11" spans="3:18" x14ac:dyDescent="0.35">
      <c r="C11" s="78"/>
      <c r="D11" s="79"/>
      <c r="E11" s="79"/>
      <c r="F11" s="79"/>
      <c r="G11" s="79"/>
      <c r="H11" s="79"/>
      <c r="I11" s="79"/>
      <c r="J11" s="79"/>
      <c r="K11" s="79"/>
      <c r="L11" s="79"/>
      <c r="M11" s="79"/>
      <c r="N11" s="79"/>
      <c r="O11" s="79"/>
      <c r="P11" s="79"/>
      <c r="Q11" s="79"/>
      <c r="R11" s="80"/>
    </row>
    <row r="12" spans="3:18" x14ac:dyDescent="0.35">
      <c r="C12" s="78"/>
      <c r="D12" s="79"/>
      <c r="E12" s="79"/>
      <c r="F12" s="79"/>
      <c r="G12" s="79"/>
      <c r="H12" s="79"/>
      <c r="I12" s="79"/>
      <c r="J12" s="79"/>
      <c r="K12" s="79"/>
      <c r="L12" s="79"/>
      <c r="M12" s="79"/>
      <c r="N12" s="79"/>
      <c r="O12" s="79"/>
      <c r="P12" s="79"/>
      <c r="Q12" s="79"/>
      <c r="R12" s="80"/>
    </row>
    <row r="13" spans="3:18" x14ac:dyDescent="0.35">
      <c r="C13" s="78"/>
      <c r="D13" s="79"/>
      <c r="E13" s="79"/>
      <c r="F13" s="79"/>
      <c r="G13" s="79"/>
      <c r="H13" s="79"/>
      <c r="I13" s="79"/>
      <c r="J13" s="79"/>
      <c r="K13" s="79"/>
      <c r="L13" s="79"/>
      <c r="M13" s="79"/>
      <c r="N13" s="79"/>
      <c r="O13" s="79"/>
      <c r="P13" s="79"/>
      <c r="Q13" s="79"/>
      <c r="R13" s="80"/>
    </row>
    <row r="14" spans="3:18" x14ac:dyDescent="0.35">
      <c r="C14" s="78"/>
      <c r="D14" s="79"/>
      <c r="E14" s="79"/>
      <c r="F14" s="79"/>
      <c r="G14" s="79"/>
      <c r="H14" s="79"/>
      <c r="I14" s="79"/>
      <c r="J14" s="79"/>
      <c r="K14" s="79"/>
      <c r="L14" s="79"/>
      <c r="M14" s="79"/>
      <c r="N14" s="79"/>
      <c r="O14" s="79"/>
      <c r="P14" s="79"/>
      <c r="Q14" s="79"/>
      <c r="R14" s="80"/>
    </row>
    <row r="15" spans="3:18" x14ac:dyDescent="0.35">
      <c r="C15" s="78"/>
      <c r="D15" s="79"/>
      <c r="E15" s="79"/>
      <c r="F15" s="79"/>
      <c r="G15" s="79"/>
      <c r="H15" s="79"/>
      <c r="I15" s="79"/>
      <c r="J15" s="79"/>
      <c r="K15" s="79"/>
      <c r="L15" s="79"/>
      <c r="M15" s="79"/>
      <c r="N15" s="79"/>
      <c r="O15" s="79"/>
      <c r="P15" s="79"/>
      <c r="Q15" s="79"/>
      <c r="R15" s="80"/>
    </row>
    <row r="16" spans="3:18" x14ac:dyDescent="0.35">
      <c r="C16" s="78"/>
      <c r="D16" s="79"/>
      <c r="E16" s="79"/>
      <c r="F16" s="79"/>
      <c r="G16" s="79"/>
      <c r="H16" s="79"/>
      <c r="I16" s="79"/>
      <c r="J16" s="79"/>
      <c r="K16" s="79"/>
      <c r="L16" s="79"/>
      <c r="M16" s="79"/>
      <c r="N16" s="79"/>
      <c r="O16" s="79"/>
      <c r="P16" s="79"/>
      <c r="Q16" s="79"/>
      <c r="R16" s="80"/>
    </row>
    <row r="17" spans="3:18" x14ac:dyDescent="0.35">
      <c r="C17" s="78"/>
      <c r="D17" s="79"/>
      <c r="E17" s="79"/>
      <c r="F17" s="79"/>
      <c r="G17" s="79"/>
      <c r="H17" s="79"/>
      <c r="I17" s="79"/>
      <c r="J17" s="79"/>
      <c r="K17" s="79"/>
      <c r="L17" s="79"/>
      <c r="M17" s="79"/>
      <c r="N17" s="79"/>
      <c r="O17" s="79"/>
      <c r="P17" s="79"/>
      <c r="Q17" s="79"/>
      <c r="R17" s="80"/>
    </row>
    <row r="18" spans="3:18" x14ac:dyDescent="0.35">
      <c r="C18" s="78"/>
      <c r="D18" s="79"/>
      <c r="E18" s="79"/>
      <c r="F18" s="79"/>
      <c r="G18" s="79"/>
      <c r="H18" s="79"/>
      <c r="I18" s="79"/>
      <c r="J18" s="79"/>
      <c r="K18" s="79"/>
      <c r="L18" s="79"/>
      <c r="M18" s="79"/>
      <c r="N18" s="79"/>
      <c r="O18" s="79"/>
      <c r="P18" s="79"/>
      <c r="Q18" s="79"/>
      <c r="R18" s="80"/>
    </row>
    <row r="19" spans="3:18" x14ac:dyDescent="0.35">
      <c r="C19" s="78"/>
      <c r="D19" s="79"/>
      <c r="E19" s="79"/>
      <c r="F19" s="79"/>
      <c r="G19" s="79"/>
      <c r="H19" s="79"/>
      <c r="I19" s="79"/>
      <c r="J19" s="79"/>
      <c r="K19" s="79"/>
      <c r="L19" s="79"/>
      <c r="M19" s="79"/>
      <c r="N19" s="79"/>
      <c r="O19" s="79"/>
      <c r="P19" s="79"/>
      <c r="Q19" s="79"/>
      <c r="R19" s="80"/>
    </row>
    <row r="20" spans="3:18" x14ac:dyDescent="0.35">
      <c r="C20" s="78"/>
      <c r="D20" s="79"/>
      <c r="E20" s="79"/>
      <c r="F20" s="79"/>
      <c r="G20" s="79"/>
      <c r="H20" s="79"/>
      <c r="I20" s="79"/>
      <c r="J20" s="79"/>
      <c r="K20" s="79"/>
      <c r="L20" s="79"/>
      <c r="M20" s="79"/>
      <c r="N20" s="79"/>
      <c r="O20" s="79"/>
      <c r="P20" s="79"/>
      <c r="Q20" s="79"/>
      <c r="R20" s="80"/>
    </row>
    <row r="21" spans="3:18" x14ac:dyDescent="0.35">
      <c r="C21" s="78"/>
      <c r="D21" s="79"/>
      <c r="E21" s="79"/>
      <c r="F21" s="79"/>
      <c r="G21" s="79"/>
      <c r="H21" s="79"/>
      <c r="I21" s="79"/>
      <c r="J21" s="79"/>
      <c r="K21" s="79"/>
      <c r="L21" s="79"/>
      <c r="M21" s="79"/>
      <c r="N21" s="79"/>
      <c r="O21" s="79"/>
      <c r="P21" s="79"/>
      <c r="Q21" s="79"/>
      <c r="R21" s="80"/>
    </row>
    <row r="22" spans="3:18" x14ac:dyDescent="0.35">
      <c r="C22" s="78"/>
      <c r="D22" s="79"/>
      <c r="E22" s="79"/>
      <c r="F22" s="79"/>
      <c r="G22" s="79"/>
      <c r="H22" s="79"/>
      <c r="I22" s="79"/>
      <c r="J22" s="79"/>
      <c r="K22" s="79"/>
      <c r="L22" s="79"/>
      <c r="M22" s="79"/>
      <c r="N22" s="79"/>
      <c r="O22" s="79"/>
      <c r="P22" s="79"/>
      <c r="Q22" s="79"/>
      <c r="R22" s="80"/>
    </row>
    <row r="23" spans="3:18" x14ac:dyDescent="0.35">
      <c r="C23" s="78"/>
      <c r="D23" s="79"/>
      <c r="E23" s="79"/>
      <c r="F23" s="79"/>
      <c r="G23" s="79"/>
      <c r="H23" s="79"/>
      <c r="I23" s="79"/>
      <c r="J23" s="79"/>
      <c r="K23" s="79"/>
      <c r="L23" s="79"/>
      <c r="M23" s="79"/>
      <c r="N23" s="79"/>
      <c r="O23" s="79"/>
      <c r="P23" s="79"/>
      <c r="Q23" s="79"/>
      <c r="R23" s="80"/>
    </row>
    <row r="24" spans="3:18" x14ac:dyDescent="0.35">
      <c r="C24" s="78"/>
      <c r="D24" s="79"/>
      <c r="E24" s="79"/>
      <c r="F24" s="79"/>
      <c r="G24" s="79"/>
      <c r="H24" s="79"/>
      <c r="I24" s="79"/>
      <c r="J24" s="79"/>
      <c r="K24" s="79"/>
      <c r="L24" s="79"/>
      <c r="M24" s="79"/>
      <c r="N24" s="79"/>
      <c r="O24" s="79"/>
      <c r="P24" s="79"/>
      <c r="Q24" s="79"/>
      <c r="R24" s="80"/>
    </row>
    <row r="25" spans="3:18" x14ac:dyDescent="0.35">
      <c r="C25" s="78"/>
      <c r="D25" s="79"/>
      <c r="E25" s="79"/>
      <c r="F25" s="79"/>
      <c r="G25" s="79"/>
      <c r="H25" s="79"/>
      <c r="I25" s="79"/>
      <c r="J25" s="79"/>
      <c r="K25" s="79"/>
      <c r="L25" s="79"/>
      <c r="M25" s="79"/>
      <c r="N25" s="79"/>
      <c r="O25" s="79"/>
      <c r="P25" s="79"/>
      <c r="Q25" s="79"/>
      <c r="R25" s="80"/>
    </row>
    <row r="26" spans="3:18" x14ac:dyDescent="0.35">
      <c r="C26" s="78"/>
      <c r="D26" s="79"/>
      <c r="E26" s="79"/>
      <c r="F26" s="79"/>
      <c r="G26" s="79"/>
      <c r="H26" s="79"/>
      <c r="I26" s="79"/>
      <c r="J26" s="79"/>
      <c r="K26" s="79"/>
      <c r="L26" s="79"/>
      <c r="M26" s="79"/>
      <c r="N26" s="79"/>
      <c r="O26" s="79"/>
      <c r="P26" s="79"/>
      <c r="Q26" s="79"/>
      <c r="R26" s="80"/>
    </row>
    <row r="27" spans="3:18" x14ac:dyDescent="0.35">
      <c r="C27" s="78"/>
      <c r="D27" s="79"/>
      <c r="E27" s="79"/>
      <c r="F27" s="79"/>
      <c r="G27" s="79"/>
      <c r="H27" s="79"/>
      <c r="I27" s="79"/>
      <c r="J27" s="79"/>
      <c r="K27" s="79"/>
      <c r="L27" s="79"/>
      <c r="M27" s="79"/>
      <c r="N27" s="79"/>
      <c r="O27" s="79"/>
      <c r="P27" s="79"/>
      <c r="Q27" s="79"/>
      <c r="R27" s="80"/>
    </row>
    <row r="28" spans="3:18" x14ac:dyDescent="0.35">
      <c r="C28" s="78"/>
      <c r="D28" s="79"/>
      <c r="E28" s="79"/>
      <c r="F28" s="79"/>
      <c r="G28" s="79"/>
      <c r="H28" s="79"/>
      <c r="I28" s="79"/>
      <c r="J28" s="79"/>
      <c r="K28" s="79"/>
      <c r="L28" s="79"/>
      <c r="M28" s="79"/>
      <c r="N28" s="79"/>
      <c r="O28" s="79"/>
      <c r="P28" s="79"/>
      <c r="Q28" s="79"/>
      <c r="R28" s="80"/>
    </row>
    <row r="29" spans="3:18" x14ac:dyDescent="0.35">
      <c r="C29" s="78"/>
      <c r="D29" s="79"/>
      <c r="E29" s="79"/>
      <c r="F29" s="79"/>
      <c r="G29" s="79"/>
      <c r="H29" s="79"/>
      <c r="I29" s="79"/>
      <c r="J29" s="79"/>
      <c r="K29" s="79"/>
      <c r="L29" s="79"/>
      <c r="M29" s="79"/>
      <c r="N29" s="79"/>
      <c r="O29" s="79"/>
      <c r="P29" s="79"/>
      <c r="Q29" s="79"/>
      <c r="R29" s="80"/>
    </row>
    <row r="30" spans="3:18" x14ac:dyDescent="0.35">
      <c r="C30" s="78"/>
      <c r="D30" s="79"/>
      <c r="E30" s="79"/>
      <c r="F30" s="79"/>
      <c r="G30" s="79"/>
      <c r="H30" s="79"/>
      <c r="I30" s="79"/>
      <c r="J30" s="79"/>
      <c r="K30" s="79"/>
      <c r="L30" s="79"/>
      <c r="M30" s="79"/>
      <c r="N30" s="79"/>
      <c r="O30" s="79"/>
      <c r="P30" s="79"/>
      <c r="Q30" s="79"/>
      <c r="R30" s="80"/>
    </row>
    <row r="31" spans="3:18" x14ac:dyDescent="0.35">
      <c r="C31" s="78"/>
      <c r="D31" s="79"/>
      <c r="E31" s="79"/>
      <c r="F31" s="79"/>
      <c r="G31" s="79"/>
      <c r="H31" s="79"/>
      <c r="I31" s="79"/>
      <c r="J31" s="79"/>
      <c r="K31" s="79"/>
      <c r="L31" s="79"/>
      <c r="M31" s="79"/>
      <c r="N31" s="79"/>
      <c r="O31" s="79"/>
      <c r="P31" s="79"/>
      <c r="Q31" s="79"/>
      <c r="R31" s="80"/>
    </row>
    <row r="32" spans="3:18" x14ac:dyDescent="0.35">
      <c r="C32" s="78"/>
      <c r="D32" s="79"/>
      <c r="E32" s="79"/>
      <c r="F32" s="79"/>
      <c r="G32" s="79"/>
      <c r="H32" s="79"/>
      <c r="I32" s="79"/>
      <c r="J32" s="79"/>
      <c r="K32" s="79"/>
      <c r="L32" s="79"/>
      <c r="M32" s="79"/>
      <c r="N32" s="79"/>
      <c r="O32" s="79"/>
      <c r="P32" s="79"/>
      <c r="Q32" s="79"/>
      <c r="R32" s="80"/>
    </row>
    <row r="33" spans="3:35" x14ac:dyDescent="0.35">
      <c r="C33" s="78"/>
      <c r="D33" s="79"/>
      <c r="E33" s="79"/>
      <c r="F33" s="79"/>
      <c r="G33" s="79"/>
      <c r="H33" s="79"/>
      <c r="I33" s="79"/>
      <c r="J33" s="79"/>
      <c r="K33" s="79"/>
      <c r="L33" s="79"/>
      <c r="M33" s="79"/>
      <c r="N33" s="79"/>
      <c r="O33" s="79"/>
      <c r="P33" s="79"/>
      <c r="Q33" s="79"/>
      <c r="R33" s="80"/>
    </row>
    <row r="34" spans="3:35" x14ac:dyDescent="0.35">
      <c r="C34" s="78"/>
      <c r="D34" s="79"/>
      <c r="E34" s="79"/>
      <c r="F34" s="79"/>
      <c r="G34" s="79"/>
      <c r="H34" s="79"/>
      <c r="I34" s="79"/>
      <c r="J34" s="79"/>
      <c r="K34" s="79"/>
      <c r="L34" s="79"/>
      <c r="M34" s="79"/>
      <c r="N34" s="79"/>
      <c r="O34" s="79"/>
      <c r="P34" s="79"/>
      <c r="Q34" s="79"/>
      <c r="R34" s="80"/>
    </row>
    <row r="35" spans="3:35" x14ac:dyDescent="0.35">
      <c r="C35" s="78"/>
      <c r="D35" s="79"/>
      <c r="E35" s="79"/>
      <c r="F35" s="79"/>
      <c r="G35" s="79"/>
      <c r="H35" s="79"/>
      <c r="I35" s="79"/>
      <c r="J35" s="79"/>
      <c r="K35" s="79"/>
      <c r="L35" s="79"/>
      <c r="M35" s="79"/>
      <c r="N35" s="79"/>
      <c r="O35" s="79"/>
      <c r="P35" s="79"/>
      <c r="Q35" s="79"/>
      <c r="R35" s="80"/>
      <c r="AH35" s="15" t="str">
        <f t="shared" ref="AH35:AI39" si="0">U47</f>
        <v>Bitcoin</v>
      </c>
      <c r="AI35" s="15">
        <f t="shared" si="0"/>
        <v>67558459644</v>
      </c>
    </row>
    <row r="36" spans="3:35" x14ac:dyDescent="0.35">
      <c r="C36" s="78"/>
      <c r="D36" s="79"/>
      <c r="E36" s="79"/>
      <c r="F36" s="79"/>
      <c r="G36" s="79"/>
      <c r="H36" s="79"/>
      <c r="I36" s="79"/>
      <c r="J36" s="79"/>
      <c r="K36" s="79"/>
      <c r="L36" s="79"/>
      <c r="M36" s="79"/>
      <c r="N36" s="79"/>
      <c r="O36" s="79"/>
      <c r="P36" s="79"/>
      <c r="Q36" s="79"/>
      <c r="R36" s="80"/>
      <c r="AH36" s="15" t="str">
        <f t="shared" si="0"/>
        <v>Ethereum</v>
      </c>
      <c r="AI36" s="15">
        <f t="shared" si="0"/>
        <v>36178864935</v>
      </c>
    </row>
    <row r="37" spans="3:35" x14ac:dyDescent="0.35">
      <c r="C37" s="78"/>
      <c r="D37" s="79"/>
      <c r="E37" s="79"/>
      <c r="F37" s="79"/>
      <c r="G37" s="79"/>
      <c r="H37" s="79"/>
      <c r="I37" s="79"/>
      <c r="J37" s="79"/>
      <c r="K37" s="79"/>
      <c r="L37" s="79"/>
      <c r="M37" s="79"/>
      <c r="N37" s="79"/>
      <c r="O37" s="79"/>
      <c r="P37" s="79"/>
      <c r="Q37" s="79"/>
      <c r="R37" s="80"/>
      <c r="AH37" s="15" t="str">
        <f t="shared" si="0"/>
        <v>Solana</v>
      </c>
      <c r="AI37" s="15">
        <f t="shared" si="0"/>
        <v>5356898486</v>
      </c>
    </row>
    <row r="38" spans="3:35" x14ac:dyDescent="0.35">
      <c r="C38" s="78"/>
      <c r="D38" s="79"/>
      <c r="E38" s="79"/>
      <c r="F38" s="79"/>
      <c r="G38" s="79"/>
      <c r="H38" s="79"/>
      <c r="I38" s="79"/>
      <c r="J38" s="79"/>
      <c r="K38" s="79"/>
      <c r="L38" s="79"/>
      <c r="M38" s="79"/>
      <c r="N38" s="79"/>
      <c r="O38" s="79"/>
      <c r="P38" s="79"/>
      <c r="Q38" s="79"/>
      <c r="R38" s="80"/>
      <c r="AH38" s="15" t="str">
        <f t="shared" si="0"/>
        <v>Tether</v>
      </c>
      <c r="AI38" s="15">
        <f t="shared" si="0"/>
        <v>128822587010</v>
      </c>
    </row>
    <row r="39" spans="3:35" x14ac:dyDescent="0.35">
      <c r="C39" s="78"/>
      <c r="D39" s="79"/>
      <c r="E39" s="79"/>
      <c r="F39" s="79"/>
      <c r="G39" s="79"/>
      <c r="H39" s="79"/>
      <c r="I39" s="79"/>
      <c r="J39" s="79"/>
      <c r="K39" s="79"/>
      <c r="L39" s="79"/>
      <c r="M39" s="79"/>
      <c r="N39" s="79"/>
      <c r="O39" s="79"/>
      <c r="P39" s="79"/>
      <c r="Q39" s="79"/>
      <c r="R39" s="80"/>
      <c r="AH39" s="15" t="str">
        <f t="shared" si="0"/>
        <v>USDC</v>
      </c>
      <c r="AI39" s="15">
        <f t="shared" si="0"/>
        <v>22902529346</v>
      </c>
    </row>
    <row r="40" spans="3:35" x14ac:dyDescent="0.35">
      <c r="C40" s="78"/>
      <c r="D40" s="79"/>
      <c r="E40" s="79"/>
      <c r="F40" s="79"/>
      <c r="G40" s="79"/>
      <c r="H40" s="79"/>
      <c r="I40" s="79"/>
      <c r="J40" s="79"/>
      <c r="K40" s="79"/>
      <c r="L40" s="79"/>
      <c r="M40" s="79"/>
      <c r="N40" s="79"/>
      <c r="O40" s="79"/>
      <c r="P40" s="79"/>
      <c r="Q40" s="79"/>
      <c r="R40" s="80"/>
      <c r="AH40" s="15" t="s">
        <v>568</v>
      </c>
      <c r="AI40" s="15">
        <f>Z424-SUM(AI35:AI39)</f>
        <v>16810953665</v>
      </c>
    </row>
    <row r="41" spans="3:35" x14ac:dyDescent="0.35">
      <c r="C41" s="78"/>
      <c r="D41" s="79"/>
      <c r="E41" s="79"/>
      <c r="F41" s="79"/>
      <c r="G41" s="79"/>
      <c r="H41" s="79"/>
      <c r="I41" s="79"/>
      <c r="J41" s="79"/>
      <c r="K41" s="79"/>
      <c r="L41" s="79"/>
      <c r="M41" s="79"/>
      <c r="N41" s="79"/>
      <c r="O41" s="79"/>
      <c r="P41" s="79"/>
      <c r="Q41" s="79"/>
      <c r="R41" s="80"/>
    </row>
    <row r="42" spans="3:35" ht="15" thickBot="1" x14ac:dyDescent="0.4">
      <c r="C42" s="81"/>
      <c r="D42" s="82"/>
      <c r="E42" s="82"/>
      <c r="F42" s="82"/>
      <c r="G42" s="82"/>
      <c r="H42" s="82"/>
      <c r="I42" s="82"/>
      <c r="J42" s="82"/>
      <c r="K42" s="82"/>
      <c r="L42" s="82"/>
      <c r="M42" s="82"/>
      <c r="N42" s="82"/>
      <c r="O42" s="82"/>
      <c r="P42" s="82"/>
      <c r="Q42" s="82"/>
      <c r="R42" s="83"/>
    </row>
    <row r="43" spans="3:35" ht="15.5" thickTop="1" thickBot="1" x14ac:dyDescent="0.4"/>
    <row r="44" spans="3:35" ht="27" thickTop="1" thickBot="1" x14ac:dyDescent="0.65">
      <c r="U44" s="65" t="s">
        <v>566</v>
      </c>
      <c r="V44" s="66" t="s">
        <v>567</v>
      </c>
    </row>
    <row r="45" spans="3:35" ht="27" thickTop="1" thickBot="1" x14ac:dyDescent="0.65">
      <c r="U45" s="67"/>
      <c r="V45" s="68"/>
    </row>
    <row r="46" spans="3:35" ht="26.5" thickBot="1" x14ac:dyDescent="0.65">
      <c r="U46" s="69" t="s">
        <v>156</v>
      </c>
      <c r="V46" s="69" t="s">
        <v>147</v>
      </c>
    </row>
    <row r="47" spans="3:35" ht="26.5" thickTop="1" x14ac:dyDescent="0.6">
      <c r="U47" s="70" t="s">
        <v>8</v>
      </c>
      <c r="V47" s="157">
        <v>67558459644</v>
      </c>
    </row>
    <row r="48" spans="3:35" ht="26" x14ac:dyDescent="0.6">
      <c r="U48" s="71" t="s">
        <v>10</v>
      </c>
      <c r="V48" s="158">
        <v>36178864935</v>
      </c>
    </row>
    <row r="49" spans="21:22" ht="26" x14ac:dyDescent="0.6">
      <c r="U49" s="71" t="s">
        <v>17</v>
      </c>
      <c r="V49" s="158">
        <v>5356898486</v>
      </c>
    </row>
    <row r="50" spans="21:22" ht="26" x14ac:dyDescent="0.6">
      <c r="U50" s="71" t="s">
        <v>12</v>
      </c>
      <c r="V50" s="158">
        <v>128822587010</v>
      </c>
    </row>
    <row r="51" spans="21:22" ht="26.5" thickBot="1" x14ac:dyDescent="0.65">
      <c r="U51" s="72" t="s">
        <v>16</v>
      </c>
      <c r="V51" s="158">
        <v>22902529346</v>
      </c>
    </row>
    <row r="52" spans="21:22" ht="27" thickTop="1" thickBot="1" x14ac:dyDescent="0.65">
      <c r="U52" s="73" t="s">
        <v>146</v>
      </c>
      <c r="V52" s="159">
        <v>260819339421</v>
      </c>
    </row>
    <row r="53" spans="21:22" ht="15" thickTop="1" x14ac:dyDescent="0.35"/>
    <row r="139" spans="25:26" x14ac:dyDescent="0.35">
      <c r="Y139"/>
      <c r="Z139"/>
    </row>
    <row r="141" spans="25:26" x14ac:dyDescent="0.35">
      <c r="Y141" s="15" t="s">
        <v>156</v>
      </c>
      <c r="Z141" s="15" t="s">
        <v>147</v>
      </c>
    </row>
    <row r="142" spans="25:26" x14ac:dyDescent="0.35">
      <c r="Y142" s="74" t="s">
        <v>117</v>
      </c>
      <c r="Z142" s="15">
        <v>182797</v>
      </c>
    </row>
    <row r="143" spans="25:26" x14ac:dyDescent="0.35">
      <c r="Y143" s="74" t="s">
        <v>370</v>
      </c>
      <c r="Z143" s="15">
        <v>7297130</v>
      </c>
    </row>
    <row r="144" spans="25:26" x14ac:dyDescent="0.35">
      <c r="Y144" s="74" t="s">
        <v>119</v>
      </c>
      <c r="Z144" s="15">
        <v>217674</v>
      </c>
    </row>
    <row r="145" spans="25:26" x14ac:dyDescent="0.35">
      <c r="Y145" s="74" t="s">
        <v>316</v>
      </c>
      <c r="Z145" s="15">
        <v>4178483</v>
      </c>
    </row>
    <row r="146" spans="25:26" x14ac:dyDescent="0.35">
      <c r="Y146" s="74" t="s">
        <v>530</v>
      </c>
      <c r="Z146" s="15">
        <v>110464</v>
      </c>
    </row>
    <row r="147" spans="25:26" x14ac:dyDescent="0.35">
      <c r="Y147" s="74" t="s">
        <v>466</v>
      </c>
      <c r="Z147" s="15">
        <v>48313</v>
      </c>
    </row>
    <row r="148" spans="25:26" x14ac:dyDescent="0.35">
      <c r="Y148" s="74" t="s">
        <v>93</v>
      </c>
      <c r="Z148" s="15">
        <v>276017</v>
      </c>
    </row>
    <row r="149" spans="25:26" x14ac:dyDescent="0.35">
      <c r="Y149" s="74" t="s">
        <v>162</v>
      </c>
      <c r="Z149" s="15">
        <v>12531234</v>
      </c>
    </row>
    <row r="150" spans="25:26" x14ac:dyDescent="0.35">
      <c r="Y150" s="74" t="s">
        <v>182</v>
      </c>
      <c r="Z150" s="15">
        <v>5958343</v>
      </c>
    </row>
    <row r="151" spans="25:26" x14ac:dyDescent="0.35">
      <c r="Y151" s="74" t="s">
        <v>534</v>
      </c>
      <c r="Z151" s="15">
        <v>826410</v>
      </c>
    </row>
    <row r="152" spans="25:26" x14ac:dyDescent="0.35">
      <c r="Y152" s="74" t="s">
        <v>97</v>
      </c>
      <c r="Z152" s="15">
        <v>1312642</v>
      </c>
    </row>
    <row r="153" spans="25:26" x14ac:dyDescent="0.35">
      <c r="Y153" s="74" t="s">
        <v>129</v>
      </c>
      <c r="Z153" s="15">
        <v>119060</v>
      </c>
    </row>
    <row r="154" spans="25:26" x14ac:dyDescent="0.35">
      <c r="Y154" s="74" t="s">
        <v>216</v>
      </c>
      <c r="Z154" s="15">
        <v>141536591</v>
      </c>
    </row>
    <row r="155" spans="25:26" x14ac:dyDescent="0.35">
      <c r="Y155" s="74" t="s">
        <v>109</v>
      </c>
      <c r="Z155" s="15">
        <v>2738594</v>
      </c>
    </row>
    <row r="156" spans="25:26" x14ac:dyDescent="0.35">
      <c r="Y156" s="74" t="s">
        <v>101</v>
      </c>
      <c r="Z156" s="15">
        <v>29171</v>
      </c>
    </row>
    <row r="157" spans="25:26" x14ac:dyDescent="0.35">
      <c r="Y157" s="74" t="s">
        <v>222</v>
      </c>
      <c r="Z157" s="15">
        <v>8718804</v>
      </c>
    </row>
    <row r="158" spans="25:26" x14ac:dyDescent="0.35">
      <c r="Y158" s="74" t="s">
        <v>241</v>
      </c>
      <c r="Z158" s="15">
        <v>2365</v>
      </c>
    </row>
    <row r="159" spans="25:26" x14ac:dyDescent="0.35">
      <c r="Y159" s="74" t="s">
        <v>360</v>
      </c>
      <c r="Z159" s="15">
        <v>307802</v>
      </c>
    </row>
    <row r="160" spans="25:26" x14ac:dyDescent="0.35">
      <c r="Y160" s="74" t="s">
        <v>384</v>
      </c>
      <c r="Z160" s="15">
        <v>224602</v>
      </c>
    </row>
    <row r="161" spans="25:26" x14ac:dyDescent="0.35">
      <c r="Y161" s="74" t="s">
        <v>296</v>
      </c>
      <c r="Z161" s="15">
        <v>1487247</v>
      </c>
    </row>
    <row r="162" spans="25:26" x14ac:dyDescent="0.35">
      <c r="Y162" s="74" t="s">
        <v>433</v>
      </c>
      <c r="Z162" s="15">
        <v>1740419</v>
      </c>
    </row>
    <row r="163" spans="25:26" x14ac:dyDescent="0.35">
      <c r="Y163" s="74" t="s">
        <v>547</v>
      </c>
      <c r="Z163" s="15">
        <v>219377</v>
      </c>
    </row>
    <row r="164" spans="25:26" x14ac:dyDescent="0.35">
      <c r="Y164" s="74" t="s">
        <v>206</v>
      </c>
      <c r="Z164" s="15">
        <v>6358343</v>
      </c>
    </row>
    <row r="165" spans="25:26" x14ac:dyDescent="0.35">
      <c r="Y165" s="74" t="s">
        <v>95</v>
      </c>
      <c r="Z165" s="15">
        <v>1047391</v>
      </c>
    </row>
    <row r="166" spans="25:26" x14ac:dyDescent="0.35">
      <c r="Y166" s="74" t="s">
        <v>245</v>
      </c>
      <c r="Z166" s="15">
        <v>17174665</v>
      </c>
    </row>
    <row r="167" spans="25:26" x14ac:dyDescent="0.35">
      <c r="Y167" s="74" t="s">
        <v>194</v>
      </c>
      <c r="Z167" s="15">
        <v>7896120</v>
      </c>
    </row>
    <row r="168" spans="25:26" x14ac:dyDescent="0.35">
      <c r="Y168" s="74" t="s">
        <v>526</v>
      </c>
      <c r="Z168" s="15">
        <v>72427</v>
      </c>
    </row>
    <row r="169" spans="25:26" x14ac:dyDescent="0.35">
      <c r="Y169" s="74" t="s">
        <v>479</v>
      </c>
      <c r="Z169" s="15">
        <v>101991</v>
      </c>
    </row>
    <row r="170" spans="25:26" x14ac:dyDescent="0.35">
      <c r="Y170" s="74" t="s">
        <v>498</v>
      </c>
      <c r="Z170" s="15">
        <v>775875</v>
      </c>
    </row>
    <row r="171" spans="25:26" x14ac:dyDescent="0.35">
      <c r="Y171" s="74" t="s">
        <v>123</v>
      </c>
      <c r="Z171" s="15">
        <v>1316156</v>
      </c>
    </row>
    <row r="172" spans="25:26" x14ac:dyDescent="0.35">
      <c r="Y172" s="74" t="s">
        <v>239</v>
      </c>
      <c r="Z172" s="15">
        <v>261</v>
      </c>
    </row>
    <row r="173" spans="25:26" x14ac:dyDescent="0.35">
      <c r="Y173" s="74" t="s">
        <v>311</v>
      </c>
      <c r="Z173" s="15">
        <v>26677895</v>
      </c>
    </row>
    <row r="174" spans="25:26" x14ac:dyDescent="0.35">
      <c r="Y174" s="74" t="s">
        <v>421</v>
      </c>
      <c r="Z174" s="15">
        <v>852975</v>
      </c>
    </row>
    <row r="175" spans="25:26" x14ac:dyDescent="0.35">
      <c r="Y175" s="74" t="s">
        <v>141</v>
      </c>
      <c r="Z175" s="15">
        <v>17169</v>
      </c>
    </row>
    <row r="176" spans="25:26" x14ac:dyDescent="0.35">
      <c r="Y176" s="74" t="s">
        <v>65</v>
      </c>
      <c r="Z176" s="15">
        <v>10007774</v>
      </c>
    </row>
    <row r="177" spans="25:26" x14ac:dyDescent="0.35">
      <c r="Y177" s="74" t="s">
        <v>178</v>
      </c>
      <c r="Z177" s="15">
        <v>22230640</v>
      </c>
    </row>
    <row r="178" spans="25:26" x14ac:dyDescent="0.35">
      <c r="Y178" s="74" t="s">
        <v>513</v>
      </c>
      <c r="Z178" s="15">
        <v>6471</v>
      </c>
    </row>
    <row r="179" spans="25:26" x14ac:dyDescent="0.35">
      <c r="Y179" s="74" t="s">
        <v>8</v>
      </c>
      <c r="Z179" s="15">
        <v>67558459644</v>
      </c>
    </row>
    <row r="180" spans="25:26" x14ac:dyDescent="0.35">
      <c r="Y180" s="74" t="s">
        <v>386</v>
      </c>
      <c r="Z180" s="15">
        <v>2664811</v>
      </c>
    </row>
    <row r="181" spans="25:26" x14ac:dyDescent="0.35">
      <c r="Y181" s="74" t="s">
        <v>43</v>
      </c>
      <c r="Z181" s="15">
        <v>11801193</v>
      </c>
    </row>
    <row r="182" spans="25:26" x14ac:dyDescent="0.35">
      <c r="Y182" s="74" t="s">
        <v>492</v>
      </c>
      <c r="Z182" s="15">
        <v>821507</v>
      </c>
    </row>
    <row r="183" spans="25:26" x14ac:dyDescent="0.35">
      <c r="Y183" s="74" t="s">
        <v>291</v>
      </c>
      <c r="Z183" s="15">
        <v>4105623</v>
      </c>
    </row>
    <row r="184" spans="25:26" x14ac:dyDescent="0.35">
      <c r="Y184" s="74" t="s">
        <v>113</v>
      </c>
      <c r="Z184" s="15">
        <v>207968</v>
      </c>
    </row>
    <row r="185" spans="25:26" x14ac:dyDescent="0.35">
      <c r="Y185" s="74" t="s">
        <v>14</v>
      </c>
      <c r="Z185" s="15">
        <v>2533998725</v>
      </c>
    </row>
    <row r="186" spans="25:26" x14ac:dyDescent="0.35">
      <c r="Y186" s="74" t="s">
        <v>252</v>
      </c>
      <c r="Z186" s="15">
        <v>717113</v>
      </c>
    </row>
    <row r="187" spans="25:26" x14ac:dyDescent="0.35">
      <c r="Y187" s="74" t="s">
        <v>304</v>
      </c>
      <c r="Z187" s="15">
        <v>43424</v>
      </c>
    </row>
    <row r="188" spans="25:26" x14ac:dyDescent="0.35">
      <c r="Y188" s="74" t="s">
        <v>287</v>
      </c>
      <c r="Z188" s="15">
        <v>17968849</v>
      </c>
    </row>
    <row r="189" spans="25:26" x14ac:dyDescent="0.35">
      <c r="Y189" s="74" t="s">
        <v>382</v>
      </c>
      <c r="Z189" s="15">
        <v>118991</v>
      </c>
    </row>
    <row r="190" spans="25:26" x14ac:dyDescent="0.35">
      <c r="Y190" s="74" t="s">
        <v>103</v>
      </c>
      <c r="Z190" s="15">
        <v>485717</v>
      </c>
    </row>
    <row r="191" spans="25:26" x14ac:dyDescent="0.35">
      <c r="Y191" s="74" t="s">
        <v>61</v>
      </c>
      <c r="Z191" s="15">
        <v>13299991</v>
      </c>
    </row>
    <row r="192" spans="25:26" x14ac:dyDescent="0.35">
      <c r="Y192" s="74" t="s">
        <v>158</v>
      </c>
      <c r="Z192" s="15">
        <v>27162323</v>
      </c>
    </row>
    <row r="193" spans="25:26" x14ac:dyDescent="0.35">
      <c r="Y193" s="74" t="s">
        <v>544</v>
      </c>
      <c r="Z193" s="15">
        <v>75946</v>
      </c>
    </row>
    <row r="194" spans="25:26" x14ac:dyDescent="0.35">
      <c r="Y194" s="74" t="s">
        <v>274</v>
      </c>
      <c r="Z194" s="15">
        <v>1649753</v>
      </c>
    </row>
    <row r="195" spans="25:26" x14ac:dyDescent="0.35">
      <c r="Y195" s="74" t="s">
        <v>160</v>
      </c>
      <c r="Z195" s="15">
        <v>45031935</v>
      </c>
    </row>
    <row r="196" spans="25:26" x14ac:dyDescent="0.35">
      <c r="Y196" s="74" t="s">
        <v>226</v>
      </c>
      <c r="Z196" s="15">
        <v>964372</v>
      </c>
    </row>
    <row r="197" spans="25:26" x14ac:dyDescent="0.35">
      <c r="Y197" s="74" t="s">
        <v>164</v>
      </c>
      <c r="Z197" s="15">
        <v>80182341</v>
      </c>
    </row>
    <row r="198" spans="25:26" x14ac:dyDescent="0.35">
      <c r="Y198" s="74" t="s">
        <v>298</v>
      </c>
      <c r="Z198" s="15">
        <v>3496389</v>
      </c>
    </row>
    <row r="199" spans="25:26" x14ac:dyDescent="0.35">
      <c r="Y199" s="74" t="s">
        <v>172</v>
      </c>
      <c r="Z199" s="15">
        <v>1492</v>
      </c>
    </row>
    <row r="200" spans="25:26" x14ac:dyDescent="0.35">
      <c r="Y200" s="74" t="s">
        <v>6</v>
      </c>
      <c r="Z200" s="15">
        <v>5017104</v>
      </c>
    </row>
    <row r="201" spans="25:26" x14ac:dyDescent="0.35">
      <c r="Y201" s="74" t="s">
        <v>455</v>
      </c>
      <c r="Z201" s="15">
        <v>1315722</v>
      </c>
    </row>
    <row r="202" spans="25:26" x14ac:dyDescent="0.35">
      <c r="Y202" s="74" t="s">
        <v>188</v>
      </c>
      <c r="Z202" s="15">
        <v>6074209</v>
      </c>
    </row>
    <row r="203" spans="25:26" x14ac:dyDescent="0.35">
      <c r="Y203" s="74" t="s">
        <v>264</v>
      </c>
      <c r="Z203" s="15">
        <v>14910110</v>
      </c>
    </row>
    <row r="204" spans="25:26" x14ac:dyDescent="0.35">
      <c r="Y204" s="74" t="s">
        <v>190</v>
      </c>
      <c r="Z204" s="15">
        <v>680</v>
      </c>
    </row>
    <row r="205" spans="25:26" x14ac:dyDescent="0.35">
      <c r="Y205" s="74" t="s">
        <v>249</v>
      </c>
      <c r="Z205" s="15">
        <v>7348247</v>
      </c>
    </row>
    <row r="206" spans="25:26" x14ac:dyDescent="0.35">
      <c r="Y206" s="74" t="s">
        <v>210</v>
      </c>
      <c r="Z206" s="15">
        <v>6086708</v>
      </c>
    </row>
    <row r="207" spans="25:26" x14ac:dyDescent="0.35">
      <c r="Y207" s="74" t="s">
        <v>524</v>
      </c>
      <c r="Z207" s="15">
        <v>128970</v>
      </c>
    </row>
    <row r="208" spans="25:26" x14ac:dyDescent="0.35">
      <c r="Y208" s="74" t="s">
        <v>451</v>
      </c>
      <c r="Z208" s="15">
        <v>120681</v>
      </c>
    </row>
    <row r="209" spans="25:26" x14ac:dyDescent="0.35">
      <c r="Y209" s="74" t="s">
        <v>504</v>
      </c>
      <c r="Z209" s="15">
        <v>190009</v>
      </c>
    </row>
    <row r="210" spans="25:26" x14ac:dyDescent="0.35">
      <c r="Y210" s="74" t="s">
        <v>510</v>
      </c>
      <c r="Z210" s="15">
        <v>6219371</v>
      </c>
    </row>
    <row r="211" spans="25:26" x14ac:dyDescent="0.35">
      <c r="Y211" s="74" t="s">
        <v>35</v>
      </c>
      <c r="Z211" s="15">
        <v>64467700</v>
      </c>
    </row>
    <row r="212" spans="25:26" x14ac:dyDescent="0.35">
      <c r="Y212" s="74" t="s">
        <v>475</v>
      </c>
      <c r="Z212" s="15">
        <v>12078</v>
      </c>
    </row>
    <row r="213" spans="25:26" x14ac:dyDescent="0.35">
      <c r="Y213" s="74" t="s">
        <v>247</v>
      </c>
      <c r="Z213" s="15">
        <v>10114476</v>
      </c>
    </row>
    <row r="214" spans="25:26" x14ac:dyDescent="0.35">
      <c r="Y214" s="74" t="s">
        <v>437</v>
      </c>
      <c r="Z214" s="15">
        <v>302690</v>
      </c>
    </row>
    <row r="215" spans="25:26" x14ac:dyDescent="0.35">
      <c r="Y215" s="74" t="s">
        <v>519</v>
      </c>
      <c r="Z215" s="15">
        <v>448798</v>
      </c>
    </row>
    <row r="216" spans="25:26" x14ac:dyDescent="0.35">
      <c r="Y216" s="74" t="s">
        <v>184</v>
      </c>
      <c r="Z216" s="15">
        <v>533716</v>
      </c>
    </row>
    <row r="217" spans="25:26" x14ac:dyDescent="0.35">
      <c r="Y217" s="74" t="s">
        <v>511</v>
      </c>
      <c r="Z217" s="15">
        <v>21459</v>
      </c>
    </row>
    <row r="218" spans="25:26" x14ac:dyDescent="0.35">
      <c r="Y218" s="74" t="s">
        <v>295</v>
      </c>
      <c r="Z218" s="15">
        <v>6722721</v>
      </c>
    </row>
    <row r="219" spans="25:26" x14ac:dyDescent="0.35">
      <c r="Y219" s="74" t="s">
        <v>121</v>
      </c>
      <c r="Z219" s="15">
        <v>164804</v>
      </c>
    </row>
    <row r="220" spans="25:26" x14ac:dyDescent="0.35">
      <c r="Y220" s="74" t="s">
        <v>23</v>
      </c>
      <c r="Z220" s="15">
        <v>1790825480</v>
      </c>
    </row>
    <row r="221" spans="25:26" x14ac:dyDescent="0.35">
      <c r="Y221" s="74" t="s">
        <v>280</v>
      </c>
      <c r="Z221" s="15">
        <v>9122261</v>
      </c>
    </row>
    <row r="222" spans="25:26" x14ac:dyDescent="0.35">
      <c r="Y222" s="74" t="s">
        <v>300</v>
      </c>
      <c r="Z222" s="15">
        <v>317570</v>
      </c>
    </row>
    <row r="223" spans="25:26" x14ac:dyDescent="0.35">
      <c r="Y223" s="74" t="s">
        <v>49</v>
      </c>
      <c r="Z223" s="15">
        <v>7123655</v>
      </c>
    </row>
    <row r="224" spans="25:26" x14ac:dyDescent="0.35">
      <c r="Y224" s="74" t="s">
        <v>453</v>
      </c>
      <c r="Z224" s="15">
        <v>1</v>
      </c>
    </row>
    <row r="225" spans="25:26" x14ac:dyDescent="0.35">
      <c r="Y225" s="74" t="s">
        <v>471</v>
      </c>
      <c r="Z225" s="15">
        <v>17602</v>
      </c>
    </row>
    <row r="226" spans="25:26" x14ac:dyDescent="0.35">
      <c r="Y226" s="74" t="s">
        <v>200</v>
      </c>
      <c r="Z226" s="15">
        <v>985843</v>
      </c>
    </row>
    <row r="227" spans="25:26" x14ac:dyDescent="0.35">
      <c r="Y227" s="74" t="s">
        <v>413</v>
      </c>
      <c r="Z227" s="15">
        <v>3519520</v>
      </c>
    </row>
    <row r="228" spans="25:26" x14ac:dyDescent="0.35">
      <c r="Y228" s="74" t="s">
        <v>494</v>
      </c>
      <c r="Z228" s="15">
        <v>736049</v>
      </c>
    </row>
    <row r="229" spans="25:26" x14ac:dyDescent="0.35">
      <c r="Y229" s="74" t="s">
        <v>39</v>
      </c>
      <c r="Z229" s="15">
        <v>55933141</v>
      </c>
    </row>
    <row r="230" spans="25:26" x14ac:dyDescent="0.35">
      <c r="Y230" s="74" t="s">
        <v>10</v>
      </c>
      <c r="Z230" s="15">
        <v>36178864935</v>
      </c>
    </row>
    <row r="231" spans="25:26" x14ac:dyDescent="0.35">
      <c r="Y231" s="74" t="s">
        <v>59</v>
      </c>
      <c r="Z231" s="15">
        <v>3375873</v>
      </c>
    </row>
    <row r="232" spans="25:26" x14ac:dyDescent="0.35">
      <c r="Y232" s="74" t="s">
        <v>486</v>
      </c>
      <c r="Z232" s="15">
        <v>81591</v>
      </c>
    </row>
    <row r="233" spans="25:26" x14ac:dyDescent="0.35">
      <c r="Y233" s="74" t="s">
        <v>330</v>
      </c>
      <c r="Z233" s="15">
        <v>125431</v>
      </c>
    </row>
    <row r="234" spans="25:26" x14ac:dyDescent="0.35">
      <c r="Y234" s="74" t="s">
        <v>375</v>
      </c>
      <c r="Z234" s="15">
        <v>3626628</v>
      </c>
    </row>
    <row r="235" spans="25:26" x14ac:dyDescent="0.35">
      <c r="Y235" s="74" t="s">
        <v>515</v>
      </c>
      <c r="Z235" s="15">
        <v>80143</v>
      </c>
    </row>
    <row r="236" spans="25:26" x14ac:dyDescent="0.35">
      <c r="Y236" s="74" t="s">
        <v>338</v>
      </c>
      <c r="Z236" s="15">
        <v>24535332</v>
      </c>
    </row>
    <row r="237" spans="25:26" x14ac:dyDescent="0.35">
      <c r="Y237" s="74" t="s">
        <v>464</v>
      </c>
      <c r="Z237" s="15">
        <v>237806</v>
      </c>
    </row>
    <row r="238" spans="25:26" x14ac:dyDescent="0.35">
      <c r="Y238" s="74" t="s">
        <v>348</v>
      </c>
      <c r="Z238" s="15">
        <v>62576912</v>
      </c>
    </row>
    <row r="239" spans="25:26" x14ac:dyDescent="0.35">
      <c r="Y239" s="74" t="s">
        <v>78</v>
      </c>
      <c r="Z239" s="15">
        <v>789243</v>
      </c>
    </row>
    <row r="240" spans="25:26" x14ac:dyDescent="0.35">
      <c r="Y240" s="74" t="s">
        <v>67</v>
      </c>
      <c r="Z240" s="15">
        <v>2244874</v>
      </c>
    </row>
    <row r="241" spans="25:26" x14ac:dyDescent="0.35">
      <c r="Y241" s="74" t="s">
        <v>371</v>
      </c>
      <c r="Z241" s="15">
        <v>5112067</v>
      </c>
    </row>
    <row r="242" spans="25:26" x14ac:dyDescent="0.35">
      <c r="Y242" s="74" t="s">
        <v>80</v>
      </c>
      <c r="Z242" s="15">
        <v>126253</v>
      </c>
    </row>
    <row r="243" spans="25:26" x14ac:dyDescent="0.35">
      <c r="Y243" s="74" t="s">
        <v>289</v>
      </c>
      <c r="Z243" s="15">
        <v>587</v>
      </c>
    </row>
    <row r="244" spans="25:26" x14ac:dyDescent="0.35">
      <c r="Y244" s="74" t="s">
        <v>196</v>
      </c>
      <c r="Z244" s="15">
        <v>380</v>
      </c>
    </row>
    <row r="245" spans="25:26" x14ac:dyDescent="0.35">
      <c r="Y245" s="74" t="s">
        <v>45</v>
      </c>
      <c r="Z245" s="15">
        <v>8245189</v>
      </c>
    </row>
    <row r="246" spans="25:26" x14ac:dyDescent="0.35">
      <c r="Y246" s="74" t="s">
        <v>380</v>
      </c>
      <c r="Z246" s="15">
        <v>6397</v>
      </c>
    </row>
    <row r="247" spans="25:26" x14ac:dyDescent="0.35">
      <c r="Y247" s="74" t="s">
        <v>350</v>
      </c>
      <c r="Z247" s="15">
        <v>7948331</v>
      </c>
    </row>
    <row r="248" spans="25:26" x14ac:dyDescent="0.35">
      <c r="Y248" s="74" t="s">
        <v>318</v>
      </c>
      <c r="Z248" s="15">
        <v>20158304</v>
      </c>
    </row>
    <row r="249" spans="25:26" x14ac:dyDescent="0.35">
      <c r="Y249" s="74" t="s">
        <v>528</v>
      </c>
      <c r="Z249" s="15">
        <v>81028</v>
      </c>
    </row>
    <row r="250" spans="25:26" x14ac:dyDescent="0.35">
      <c r="Y250" s="74" t="s">
        <v>358</v>
      </c>
      <c r="Z250" s="15">
        <v>39800165</v>
      </c>
    </row>
    <row r="251" spans="25:26" x14ac:dyDescent="0.35">
      <c r="Y251" s="74" t="s">
        <v>392</v>
      </c>
      <c r="Z251" s="15">
        <v>1184339</v>
      </c>
    </row>
    <row r="252" spans="25:26" x14ac:dyDescent="0.35">
      <c r="Y252" s="74" t="s">
        <v>411</v>
      </c>
      <c r="Z252" s="15">
        <v>584219</v>
      </c>
    </row>
    <row r="253" spans="25:26" x14ac:dyDescent="0.35">
      <c r="Y253" s="74" t="s">
        <v>324</v>
      </c>
      <c r="Z253" s="15">
        <v>7546892</v>
      </c>
    </row>
    <row r="254" spans="25:26" x14ac:dyDescent="0.35">
      <c r="Y254" s="74" t="s">
        <v>58</v>
      </c>
      <c r="Z254" s="15">
        <v>31262065</v>
      </c>
    </row>
    <row r="255" spans="25:26" x14ac:dyDescent="0.35">
      <c r="Y255" s="74" t="s">
        <v>76</v>
      </c>
      <c r="Z255" s="15">
        <v>11639267</v>
      </c>
    </row>
    <row r="256" spans="25:26" x14ac:dyDescent="0.35">
      <c r="Y256" s="74" t="s">
        <v>21</v>
      </c>
      <c r="Z256" s="15">
        <v>1291024158</v>
      </c>
    </row>
    <row r="257" spans="25:26" x14ac:dyDescent="0.35">
      <c r="Y257" s="74" t="s">
        <v>517</v>
      </c>
      <c r="Z257" s="15">
        <v>1885566</v>
      </c>
    </row>
    <row r="258" spans="25:26" x14ac:dyDescent="0.35">
      <c r="Y258" s="74" t="s">
        <v>37</v>
      </c>
      <c r="Z258" s="15">
        <v>24328657</v>
      </c>
    </row>
    <row r="259" spans="25:26" x14ac:dyDescent="0.35">
      <c r="Y259" s="74" t="s">
        <v>503</v>
      </c>
      <c r="Z259" s="15">
        <v>290891</v>
      </c>
    </row>
    <row r="260" spans="25:26" x14ac:dyDescent="0.35">
      <c r="Y260" s="74" t="s">
        <v>425</v>
      </c>
      <c r="Z260" s="15">
        <v>6403</v>
      </c>
    </row>
    <row r="261" spans="25:26" x14ac:dyDescent="0.35">
      <c r="Y261" s="74" t="s">
        <v>237</v>
      </c>
      <c r="Z261" s="15">
        <v>2098</v>
      </c>
    </row>
    <row r="262" spans="25:26" x14ac:dyDescent="0.35">
      <c r="Y262" s="74" t="s">
        <v>352</v>
      </c>
      <c r="Z262" s="15">
        <v>2389955</v>
      </c>
    </row>
    <row r="263" spans="25:26" x14ac:dyDescent="0.35">
      <c r="Y263" s="74" t="s">
        <v>220</v>
      </c>
      <c r="Z263" s="15">
        <v>48669769</v>
      </c>
    </row>
    <row r="264" spans="25:26" x14ac:dyDescent="0.35">
      <c r="Y264" s="74" t="s">
        <v>259</v>
      </c>
      <c r="Z264" s="15">
        <v>8526974</v>
      </c>
    </row>
    <row r="265" spans="25:26" x14ac:dyDescent="0.35">
      <c r="Y265" s="74" t="s">
        <v>174</v>
      </c>
      <c r="Z265" s="15">
        <v>1091042</v>
      </c>
    </row>
    <row r="266" spans="25:26" x14ac:dyDescent="0.35">
      <c r="Y266" s="74" t="s">
        <v>447</v>
      </c>
      <c r="Z266" s="15">
        <v>758633</v>
      </c>
    </row>
    <row r="267" spans="25:26" x14ac:dyDescent="0.35">
      <c r="Y267" s="74" t="s">
        <v>522</v>
      </c>
      <c r="Z267" s="15">
        <v>2078773</v>
      </c>
    </row>
    <row r="268" spans="25:26" x14ac:dyDescent="0.35">
      <c r="Y268" s="74" t="s">
        <v>87</v>
      </c>
      <c r="Z268" s="15">
        <v>5734871</v>
      </c>
    </row>
    <row r="269" spans="25:26" x14ac:dyDescent="0.35">
      <c r="Y269" s="74" t="s">
        <v>326</v>
      </c>
      <c r="Z269" s="15">
        <v>523823</v>
      </c>
    </row>
    <row r="270" spans="25:26" x14ac:dyDescent="0.35">
      <c r="Y270" s="74" t="s">
        <v>315</v>
      </c>
      <c r="Z270" s="15">
        <v>22436</v>
      </c>
    </row>
    <row r="271" spans="25:26" x14ac:dyDescent="0.35">
      <c r="Y271" s="74" t="s">
        <v>214</v>
      </c>
      <c r="Z271" s="15">
        <v>5545498</v>
      </c>
    </row>
    <row r="272" spans="25:26" x14ac:dyDescent="0.35">
      <c r="Y272" s="74" t="s">
        <v>137</v>
      </c>
      <c r="Z272" s="15">
        <v>828027</v>
      </c>
    </row>
    <row r="273" spans="25:26" x14ac:dyDescent="0.35">
      <c r="Y273" s="74" t="s">
        <v>47</v>
      </c>
      <c r="Z273" s="15">
        <v>48228844</v>
      </c>
    </row>
    <row r="274" spans="25:26" x14ac:dyDescent="0.35">
      <c r="Y274" s="74" t="s">
        <v>63</v>
      </c>
      <c r="Z274" s="15">
        <v>14229959</v>
      </c>
    </row>
    <row r="275" spans="25:26" x14ac:dyDescent="0.35">
      <c r="Y275" s="74" t="s">
        <v>396</v>
      </c>
      <c r="Z275" s="15">
        <v>8590627</v>
      </c>
    </row>
    <row r="276" spans="25:26" x14ac:dyDescent="0.35">
      <c r="Y276" s="74" t="s">
        <v>488</v>
      </c>
      <c r="Z276" s="15">
        <v>66401</v>
      </c>
    </row>
    <row r="277" spans="25:26" x14ac:dyDescent="0.35">
      <c r="Y277" s="74" t="s">
        <v>170</v>
      </c>
      <c r="Z277" s="15">
        <v>5138075</v>
      </c>
    </row>
    <row r="278" spans="25:26" x14ac:dyDescent="0.35">
      <c r="Y278" s="74" t="s">
        <v>473</v>
      </c>
      <c r="Z278" s="15">
        <v>676198</v>
      </c>
    </row>
    <row r="279" spans="25:26" x14ac:dyDescent="0.35">
      <c r="Y279" s="74" t="s">
        <v>99</v>
      </c>
      <c r="Z279" s="15">
        <v>378834</v>
      </c>
    </row>
    <row r="280" spans="25:26" x14ac:dyDescent="0.35">
      <c r="Y280" s="74" t="s">
        <v>186</v>
      </c>
      <c r="Z280" s="15">
        <v>15229544</v>
      </c>
    </row>
    <row r="281" spans="25:26" x14ac:dyDescent="0.35">
      <c r="Y281" s="74" t="s">
        <v>508</v>
      </c>
      <c r="Z281" s="15">
        <v>1731</v>
      </c>
    </row>
    <row r="282" spans="25:26" x14ac:dyDescent="0.35">
      <c r="Y282" s="74" t="s">
        <v>55</v>
      </c>
      <c r="Z282" s="15">
        <v>131356485</v>
      </c>
    </row>
    <row r="283" spans="25:26" x14ac:dyDescent="0.35">
      <c r="Y283" s="74" t="s">
        <v>344</v>
      </c>
      <c r="Z283" s="15">
        <v>5621560</v>
      </c>
    </row>
    <row r="284" spans="25:26" x14ac:dyDescent="0.35">
      <c r="Y284" s="74" t="s">
        <v>168</v>
      </c>
      <c r="Z284" s="15">
        <v>13849236</v>
      </c>
    </row>
    <row r="285" spans="25:26" x14ac:dyDescent="0.35">
      <c r="Y285" s="74" t="s">
        <v>272</v>
      </c>
      <c r="Z285" s="15">
        <v>5942228</v>
      </c>
    </row>
    <row r="286" spans="25:26" x14ac:dyDescent="0.35">
      <c r="Y286" s="74" t="s">
        <v>532</v>
      </c>
      <c r="Z286" s="15">
        <v>2950</v>
      </c>
    </row>
    <row r="287" spans="25:26" x14ac:dyDescent="0.35">
      <c r="Y287" s="74" t="s">
        <v>230</v>
      </c>
      <c r="Z287" s="15">
        <v>92643</v>
      </c>
    </row>
    <row r="288" spans="25:26" x14ac:dyDescent="0.35">
      <c r="Y288" s="74" t="s">
        <v>133</v>
      </c>
      <c r="Z288" s="15">
        <v>498762</v>
      </c>
    </row>
    <row r="289" spans="25:26" x14ac:dyDescent="0.35">
      <c r="Y289" s="74" t="s">
        <v>320</v>
      </c>
      <c r="Z289" s="15">
        <v>2338940</v>
      </c>
    </row>
    <row r="290" spans="25:26" x14ac:dyDescent="0.35">
      <c r="Y290" s="74" t="s">
        <v>415</v>
      </c>
      <c r="Z290" s="15">
        <v>64300</v>
      </c>
    </row>
    <row r="291" spans="25:26" x14ac:dyDescent="0.35">
      <c r="Y291" s="74" t="s">
        <v>500</v>
      </c>
      <c r="Z291" s="15">
        <v>466345</v>
      </c>
    </row>
    <row r="292" spans="25:26" x14ac:dyDescent="0.35">
      <c r="Y292" s="74" t="s">
        <v>398</v>
      </c>
      <c r="Z292" s="15">
        <v>6658670</v>
      </c>
    </row>
    <row r="293" spans="25:26" x14ac:dyDescent="0.35">
      <c r="Y293" s="74" t="s">
        <v>485</v>
      </c>
      <c r="Z293" s="15">
        <v>332122</v>
      </c>
    </row>
    <row r="294" spans="25:26" x14ac:dyDescent="0.35">
      <c r="Y294" s="74" t="s">
        <v>429</v>
      </c>
      <c r="Z294" s="15">
        <v>2597815</v>
      </c>
    </row>
    <row r="295" spans="25:26" x14ac:dyDescent="0.35">
      <c r="Y295" s="74" t="s">
        <v>243</v>
      </c>
      <c r="Z295" s="15">
        <v>6613197</v>
      </c>
    </row>
    <row r="296" spans="25:26" x14ac:dyDescent="0.35">
      <c r="Y296" s="74" t="s">
        <v>234</v>
      </c>
      <c r="Z296" s="15">
        <v>24332761</v>
      </c>
    </row>
    <row r="297" spans="25:26" x14ac:dyDescent="0.35">
      <c r="Y297" s="74" t="s">
        <v>212</v>
      </c>
      <c r="Z297" s="15">
        <v>976085</v>
      </c>
    </row>
    <row r="298" spans="25:26" x14ac:dyDescent="0.35">
      <c r="Y298" s="74" t="s">
        <v>228</v>
      </c>
      <c r="Z298" s="15">
        <v>153322722</v>
      </c>
    </row>
    <row r="299" spans="25:26" x14ac:dyDescent="0.35">
      <c r="Y299" s="74" t="s">
        <v>73</v>
      </c>
      <c r="Z299" s="15">
        <v>204652</v>
      </c>
    </row>
    <row r="300" spans="25:26" x14ac:dyDescent="0.35">
      <c r="Y300" s="74" t="s">
        <v>270</v>
      </c>
      <c r="Z300" s="15">
        <v>10935053</v>
      </c>
    </row>
    <row r="301" spans="25:26" x14ac:dyDescent="0.35">
      <c r="Y301" s="74" t="s">
        <v>354</v>
      </c>
      <c r="Z301" s="15">
        <v>5690255</v>
      </c>
    </row>
    <row r="302" spans="25:26" x14ac:dyDescent="0.35">
      <c r="Y302" s="74" t="s">
        <v>180</v>
      </c>
      <c r="Z302" s="15">
        <v>238851</v>
      </c>
    </row>
    <row r="303" spans="25:26" x14ac:dyDescent="0.35">
      <c r="Y303" s="74" t="s">
        <v>419</v>
      </c>
      <c r="Z303" s="15">
        <v>32371110</v>
      </c>
    </row>
    <row r="304" spans="25:26" x14ac:dyDescent="0.35">
      <c r="Y304" s="74" t="s">
        <v>166</v>
      </c>
      <c r="Z304" s="15">
        <v>87830456</v>
      </c>
    </row>
    <row r="305" spans="25:26" x14ac:dyDescent="0.35">
      <c r="Y305" s="74" t="s">
        <v>302</v>
      </c>
      <c r="Z305" s="15">
        <v>5079060</v>
      </c>
    </row>
    <row r="306" spans="25:26" x14ac:dyDescent="0.35">
      <c r="Y306" s="74" t="s">
        <v>86</v>
      </c>
      <c r="Z306" s="15">
        <v>162930</v>
      </c>
    </row>
    <row r="307" spans="25:26" x14ac:dyDescent="0.35">
      <c r="Y307" s="74" t="s">
        <v>340</v>
      </c>
      <c r="Z307" s="15">
        <v>466868</v>
      </c>
    </row>
    <row r="308" spans="25:26" x14ac:dyDescent="0.35">
      <c r="Y308" s="74" t="s">
        <v>266</v>
      </c>
      <c r="Z308" s="15">
        <v>20499571</v>
      </c>
    </row>
    <row r="309" spans="25:26" x14ac:dyDescent="0.35">
      <c r="Y309" s="74" t="s">
        <v>105</v>
      </c>
      <c r="Z309" s="15">
        <v>38307907</v>
      </c>
    </row>
    <row r="310" spans="25:26" x14ac:dyDescent="0.35">
      <c r="Y310" s="74" t="s">
        <v>506</v>
      </c>
      <c r="Z310" s="15">
        <v>425763</v>
      </c>
    </row>
    <row r="311" spans="25:26" x14ac:dyDescent="0.35">
      <c r="Y311" s="74" t="s">
        <v>131</v>
      </c>
      <c r="Z311" s="15">
        <v>1398</v>
      </c>
    </row>
    <row r="312" spans="25:26" x14ac:dyDescent="0.35">
      <c r="Y312" s="74" t="s">
        <v>390</v>
      </c>
      <c r="Z312" s="15">
        <v>228048</v>
      </c>
    </row>
    <row r="313" spans="25:26" x14ac:dyDescent="0.35">
      <c r="Y313" s="74" t="s">
        <v>400</v>
      </c>
      <c r="Z313" s="15">
        <v>490438</v>
      </c>
    </row>
    <row r="314" spans="25:26" x14ac:dyDescent="0.35">
      <c r="Y314" s="74" t="s">
        <v>443</v>
      </c>
      <c r="Z314" s="15">
        <v>97858</v>
      </c>
    </row>
    <row r="315" spans="25:26" x14ac:dyDescent="0.35">
      <c r="Y315" s="74" t="s">
        <v>407</v>
      </c>
      <c r="Z315" s="15">
        <v>12375480</v>
      </c>
    </row>
    <row r="316" spans="25:26" x14ac:dyDescent="0.35">
      <c r="Y316" s="74" t="s">
        <v>549</v>
      </c>
      <c r="Z316" s="15">
        <v>79241</v>
      </c>
    </row>
    <row r="317" spans="25:26" x14ac:dyDescent="0.35">
      <c r="Y317" s="74" t="s">
        <v>373</v>
      </c>
      <c r="Z317" s="15">
        <v>1168478</v>
      </c>
    </row>
    <row r="318" spans="25:26" x14ac:dyDescent="0.35">
      <c r="Y318" s="74" t="s">
        <v>56</v>
      </c>
      <c r="Z318" s="15">
        <v>250723</v>
      </c>
    </row>
    <row r="319" spans="25:26" x14ac:dyDescent="0.35">
      <c r="Y319" s="74" t="s">
        <v>306</v>
      </c>
      <c r="Z319" s="15">
        <v>9672793</v>
      </c>
    </row>
    <row r="320" spans="25:26" x14ac:dyDescent="0.35">
      <c r="Y320" s="74" t="s">
        <v>218</v>
      </c>
      <c r="Z320" s="15">
        <v>1720458</v>
      </c>
    </row>
    <row r="321" spans="25:26" x14ac:dyDescent="0.35">
      <c r="Y321" s="74" t="s">
        <v>449</v>
      </c>
      <c r="Z321" s="15">
        <v>3201669</v>
      </c>
    </row>
    <row r="322" spans="25:26" x14ac:dyDescent="0.35">
      <c r="Y322" s="74" t="s">
        <v>309</v>
      </c>
      <c r="Z322" s="15">
        <v>7529695</v>
      </c>
    </row>
    <row r="323" spans="25:26" x14ac:dyDescent="0.35">
      <c r="Y323" s="74" t="s">
        <v>328</v>
      </c>
      <c r="Z323" s="15">
        <v>1811450</v>
      </c>
    </row>
    <row r="324" spans="25:26" x14ac:dyDescent="0.35">
      <c r="Y324" s="74" t="s">
        <v>376</v>
      </c>
      <c r="Z324" s="15">
        <v>215386</v>
      </c>
    </row>
    <row r="325" spans="25:26" x14ac:dyDescent="0.35">
      <c r="Y325" s="74" t="s">
        <v>469</v>
      </c>
      <c r="Z325" s="15">
        <v>7901</v>
      </c>
    </row>
    <row r="326" spans="25:26" x14ac:dyDescent="0.35">
      <c r="Y326" s="74" t="s">
        <v>260</v>
      </c>
      <c r="Z326" s="15">
        <v>33446308</v>
      </c>
    </row>
    <row r="327" spans="25:26" x14ac:dyDescent="0.35">
      <c r="Y327" s="74" t="s">
        <v>457</v>
      </c>
      <c r="Z327" s="15">
        <v>368122</v>
      </c>
    </row>
    <row r="328" spans="25:26" x14ac:dyDescent="0.35">
      <c r="Y328" s="74" t="s">
        <v>477</v>
      </c>
      <c r="Z328" s="15">
        <v>1825127</v>
      </c>
    </row>
    <row r="329" spans="25:26" x14ac:dyDescent="0.35">
      <c r="Y329" s="74" t="s">
        <v>232</v>
      </c>
      <c r="Z329" s="15">
        <v>296</v>
      </c>
    </row>
    <row r="330" spans="25:26" x14ac:dyDescent="0.35">
      <c r="Y330" s="74" t="s">
        <v>268</v>
      </c>
      <c r="Z330" s="15">
        <v>29507980</v>
      </c>
    </row>
    <row r="331" spans="25:26" x14ac:dyDescent="0.35">
      <c r="Y331" s="74" t="s">
        <v>405</v>
      </c>
      <c r="Z331" s="15">
        <v>40175</v>
      </c>
    </row>
    <row r="332" spans="25:26" x14ac:dyDescent="0.35">
      <c r="Y332" s="74" t="s">
        <v>192</v>
      </c>
      <c r="Z332" s="15">
        <v>24722387</v>
      </c>
    </row>
    <row r="333" spans="25:26" x14ac:dyDescent="0.35">
      <c r="Y333" s="74" t="s">
        <v>431</v>
      </c>
      <c r="Z333" s="15">
        <v>1872715</v>
      </c>
    </row>
    <row r="334" spans="25:26" x14ac:dyDescent="0.35">
      <c r="Y334" s="74" t="s">
        <v>253</v>
      </c>
      <c r="Z334" s="15">
        <v>5196628</v>
      </c>
    </row>
    <row r="335" spans="25:26" x14ac:dyDescent="0.35">
      <c r="Y335" s="74" t="s">
        <v>293</v>
      </c>
      <c r="Z335" s="15">
        <v>292241</v>
      </c>
    </row>
    <row r="336" spans="25:26" x14ac:dyDescent="0.35">
      <c r="Y336" s="74" t="s">
        <v>366</v>
      </c>
      <c r="Z336" s="15">
        <v>125236</v>
      </c>
    </row>
    <row r="337" spans="25:26" x14ac:dyDescent="0.35">
      <c r="Y337" s="74" t="s">
        <v>115</v>
      </c>
      <c r="Z337" s="15">
        <v>401875</v>
      </c>
    </row>
    <row r="338" spans="25:26" x14ac:dyDescent="0.35">
      <c r="Y338" s="74" t="s">
        <v>553</v>
      </c>
      <c r="Z338" s="15">
        <v>253285</v>
      </c>
    </row>
    <row r="339" spans="25:26" x14ac:dyDescent="0.35">
      <c r="Y339" s="74" t="s">
        <v>427</v>
      </c>
      <c r="Z339" s="15">
        <v>995138</v>
      </c>
    </row>
    <row r="340" spans="25:26" x14ac:dyDescent="0.35">
      <c r="Y340" s="74" t="s">
        <v>33</v>
      </c>
      <c r="Z340" s="15">
        <v>13164245</v>
      </c>
    </row>
    <row r="341" spans="25:26" x14ac:dyDescent="0.35">
      <c r="Y341" s="74" t="s">
        <v>278</v>
      </c>
      <c r="Z341" s="15">
        <v>190635</v>
      </c>
    </row>
    <row r="342" spans="25:26" x14ac:dyDescent="0.35">
      <c r="Y342" s="74" t="s">
        <v>468</v>
      </c>
      <c r="Z342" s="15">
        <v>239</v>
      </c>
    </row>
    <row r="343" spans="25:26" x14ac:dyDescent="0.35">
      <c r="Y343" s="74" t="s">
        <v>459</v>
      </c>
      <c r="Z343" s="15">
        <v>59813</v>
      </c>
    </row>
    <row r="344" spans="25:26" x14ac:dyDescent="0.35">
      <c r="Y344" s="74" t="s">
        <v>53</v>
      </c>
      <c r="Z344" s="15">
        <v>50695389</v>
      </c>
    </row>
    <row r="345" spans="25:26" x14ac:dyDescent="0.35">
      <c r="Y345" s="74" t="s">
        <v>481</v>
      </c>
      <c r="Z345" s="15">
        <v>276756</v>
      </c>
    </row>
    <row r="346" spans="25:26" x14ac:dyDescent="0.35">
      <c r="Y346" s="74" t="s">
        <v>176</v>
      </c>
      <c r="Z346" s="15">
        <v>10832272</v>
      </c>
    </row>
    <row r="347" spans="25:26" x14ac:dyDescent="0.35">
      <c r="Y347" s="74" t="s">
        <v>125</v>
      </c>
      <c r="Z347" s="15">
        <v>359670</v>
      </c>
    </row>
    <row r="348" spans="25:26" x14ac:dyDescent="0.35">
      <c r="Y348" s="74" t="s">
        <v>257</v>
      </c>
      <c r="Z348" s="15">
        <v>7967459</v>
      </c>
    </row>
    <row r="349" spans="25:26" x14ac:dyDescent="0.35">
      <c r="Y349" s="74" t="s">
        <v>388</v>
      </c>
      <c r="Z349" s="15">
        <v>8594550</v>
      </c>
    </row>
    <row r="350" spans="25:26" x14ac:dyDescent="0.35">
      <c r="Y350" s="74" t="s">
        <v>127</v>
      </c>
      <c r="Z350" s="15">
        <v>1784545</v>
      </c>
    </row>
    <row r="351" spans="25:26" x14ac:dyDescent="0.35">
      <c r="Y351" s="74" t="s">
        <v>111</v>
      </c>
      <c r="Z351" s="15">
        <v>2343933</v>
      </c>
    </row>
    <row r="352" spans="25:26" x14ac:dyDescent="0.35">
      <c r="Y352" s="74" t="s">
        <v>538</v>
      </c>
      <c r="Z352" s="15">
        <v>10037</v>
      </c>
    </row>
    <row r="353" spans="25:26" x14ac:dyDescent="0.35">
      <c r="Y353" s="74" t="s">
        <v>208</v>
      </c>
      <c r="Z353" s="15">
        <v>7637657</v>
      </c>
    </row>
    <row r="354" spans="25:26" x14ac:dyDescent="0.35">
      <c r="Y354" s="74" t="s">
        <v>520</v>
      </c>
      <c r="Z354" s="15">
        <v>1194229</v>
      </c>
    </row>
    <row r="355" spans="25:26" x14ac:dyDescent="0.35">
      <c r="Y355" s="74" t="s">
        <v>89</v>
      </c>
      <c r="Z355" s="15">
        <v>6369318</v>
      </c>
    </row>
    <row r="356" spans="25:26" x14ac:dyDescent="0.35">
      <c r="Y356" s="74" t="s">
        <v>378</v>
      </c>
      <c r="Z356" s="15">
        <v>824</v>
      </c>
    </row>
    <row r="357" spans="25:26" x14ac:dyDescent="0.35">
      <c r="Y357" s="74" t="s">
        <v>285</v>
      </c>
      <c r="Z357" s="15">
        <v>3521775</v>
      </c>
    </row>
    <row r="358" spans="25:26" x14ac:dyDescent="0.35">
      <c r="Y358" s="74" t="s">
        <v>536</v>
      </c>
      <c r="Z358" s="15">
        <v>195191</v>
      </c>
    </row>
    <row r="359" spans="25:26" x14ac:dyDescent="0.35">
      <c r="Y359" s="74" t="s">
        <v>283</v>
      </c>
      <c r="Z359" s="15">
        <v>1304831</v>
      </c>
    </row>
    <row r="360" spans="25:26" x14ac:dyDescent="0.35">
      <c r="Y360" s="74" t="s">
        <v>445</v>
      </c>
      <c r="Z360" s="15">
        <v>91287</v>
      </c>
    </row>
    <row r="361" spans="25:26" x14ac:dyDescent="0.35">
      <c r="Y361" s="74" t="s">
        <v>502</v>
      </c>
      <c r="Z361" s="15">
        <v>838166</v>
      </c>
    </row>
    <row r="362" spans="25:26" x14ac:dyDescent="0.35">
      <c r="Y362" s="74" t="s">
        <v>276</v>
      </c>
      <c r="Z362" s="15">
        <v>5619700</v>
      </c>
    </row>
    <row r="363" spans="25:26" x14ac:dyDescent="0.35">
      <c r="Y363" s="74" t="s">
        <v>342</v>
      </c>
      <c r="Z363" s="15">
        <v>3083581</v>
      </c>
    </row>
    <row r="364" spans="25:26" x14ac:dyDescent="0.35">
      <c r="Y364" s="74" t="s">
        <v>262</v>
      </c>
      <c r="Z364" s="15">
        <v>11262750</v>
      </c>
    </row>
    <row r="365" spans="25:26" x14ac:dyDescent="0.35">
      <c r="Y365" s="74" t="s">
        <v>334</v>
      </c>
      <c r="Z365" s="15">
        <v>401488</v>
      </c>
    </row>
    <row r="366" spans="25:26" x14ac:dyDescent="0.35">
      <c r="Y366" s="74" t="s">
        <v>17</v>
      </c>
      <c r="Z366" s="15">
        <v>5356898486</v>
      </c>
    </row>
    <row r="367" spans="25:26" x14ac:dyDescent="0.35">
      <c r="Y367" s="74" t="s">
        <v>313</v>
      </c>
      <c r="Z367" s="15">
        <v>421</v>
      </c>
    </row>
    <row r="368" spans="25:26" x14ac:dyDescent="0.35">
      <c r="Y368" s="74" t="s">
        <v>70</v>
      </c>
      <c r="Z368" s="15">
        <v>312567119</v>
      </c>
    </row>
    <row r="369" spans="25:26" x14ac:dyDescent="0.35">
      <c r="Y369" s="74" t="s">
        <v>107</v>
      </c>
      <c r="Z369" s="15">
        <v>7528812</v>
      </c>
    </row>
    <row r="370" spans="25:26" x14ac:dyDescent="0.35">
      <c r="Y370" s="74" t="s">
        <v>394</v>
      </c>
      <c r="Z370" s="15">
        <v>429359</v>
      </c>
    </row>
    <row r="371" spans="25:26" x14ac:dyDescent="0.35">
      <c r="Y371" s="74" t="s">
        <v>41</v>
      </c>
      <c r="Z371" s="15">
        <v>13854074</v>
      </c>
    </row>
    <row r="372" spans="25:26" x14ac:dyDescent="0.35">
      <c r="Y372" s="74" t="s">
        <v>409</v>
      </c>
      <c r="Z372" s="15">
        <v>24261</v>
      </c>
    </row>
    <row r="373" spans="25:26" x14ac:dyDescent="0.35">
      <c r="Y373" s="74" t="s">
        <v>545</v>
      </c>
      <c r="Z373" s="15">
        <v>3285</v>
      </c>
    </row>
    <row r="374" spans="25:26" x14ac:dyDescent="0.35">
      <c r="Y374" s="74" t="s">
        <v>496</v>
      </c>
      <c r="Z374" s="15">
        <v>188215</v>
      </c>
    </row>
    <row r="375" spans="25:26" x14ac:dyDescent="0.35">
      <c r="Y375" s="74" t="s">
        <v>29</v>
      </c>
      <c r="Z375" s="15">
        <v>916226709</v>
      </c>
    </row>
    <row r="376" spans="25:26" x14ac:dyDescent="0.35">
      <c r="Y376" s="74" t="s">
        <v>135</v>
      </c>
      <c r="Z376" s="15">
        <v>2985093</v>
      </c>
    </row>
    <row r="377" spans="25:26" x14ac:dyDescent="0.35">
      <c r="Y377" s="74" t="s">
        <v>555</v>
      </c>
      <c r="Z377" s="15">
        <v>317545</v>
      </c>
    </row>
    <row r="378" spans="25:26" x14ac:dyDescent="0.35">
      <c r="Y378" s="74" t="s">
        <v>417</v>
      </c>
      <c r="Z378" s="15">
        <v>217259</v>
      </c>
    </row>
    <row r="379" spans="25:26" x14ac:dyDescent="0.35">
      <c r="Y379" s="74" t="s">
        <v>255</v>
      </c>
      <c r="Z379" s="15">
        <v>1141715</v>
      </c>
    </row>
    <row r="380" spans="25:26" x14ac:dyDescent="0.35">
      <c r="Y380" s="74" t="s">
        <v>540</v>
      </c>
      <c r="Z380" s="15">
        <v>1749</v>
      </c>
    </row>
    <row r="381" spans="25:26" x14ac:dyDescent="0.35">
      <c r="Y381" s="74" t="s">
        <v>224</v>
      </c>
      <c r="Z381" s="15">
        <v>11440117</v>
      </c>
    </row>
    <row r="382" spans="25:26" x14ac:dyDescent="0.35">
      <c r="Y382" s="74" t="s">
        <v>202</v>
      </c>
      <c r="Z382" s="15">
        <v>15422449</v>
      </c>
    </row>
    <row r="383" spans="25:26" x14ac:dyDescent="0.35">
      <c r="Y383" s="74" t="s">
        <v>281</v>
      </c>
      <c r="Z383" s="15">
        <v>2678643</v>
      </c>
    </row>
    <row r="384" spans="25:26" x14ac:dyDescent="0.35">
      <c r="Y384" s="74" t="s">
        <v>423</v>
      </c>
      <c r="Z384" s="15">
        <v>8521023</v>
      </c>
    </row>
    <row r="385" spans="25:26" x14ac:dyDescent="0.35">
      <c r="Y385" s="74" t="s">
        <v>68</v>
      </c>
      <c r="Z385" s="15">
        <v>423</v>
      </c>
    </row>
    <row r="386" spans="25:26" x14ac:dyDescent="0.35">
      <c r="Y386" s="74" t="s">
        <v>235</v>
      </c>
      <c r="Z386" s="15">
        <v>13466730</v>
      </c>
    </row>
    <row r="387" spans="25:26" x14ac:dyDescent="0.35">
      <c r="Y387" s="74" t="s">
        <v>12</v>
      </c>
      <c r="Z387" s="15">
        <v>128822587010</v>
      </c>
    </row>
    <row r="388" spans="25:26" x14ac:dyDescent="0.35">
      <c r="Y388" s="74" t="s">
        <v>31</v>
      </c>
      <c r="Z388" s="15">
        <v>21160459</v>
      </c>
    </row>
    <row r="389" spans="25:26" x14ac:dyDescent="0.35">
      <c r="Y389" s="74" t="s">
        <v>364</v>
      </c>
      <c r="Z389" s="15">
        <v>29287</v>
      </c>
    </row>
    <row r="390" spans="25:26" x14ac:dyDescent="0.35">
      <c r="Y390" s="74" t="s">
        <v>441</v>
      </c>
      <c r="Z390" s="15">
        <v>34550</v>
      </c>
    </row>
    <row r="391" spans="25:26" x14ac:dyDescent="0.35">
      <c r="Y391" s="74" t="s">
        <v>356</v>
      </c>
      <c r="Z391" s="15">
        <v>5788007</v>
      </c>
    </row>
    <row r="392" spans="25:26" x14ac:dyDescent="0.35">
      <c r="Y392" s="74" t="s">
        <v>204</v>
      </c>
      <c r="Z392" s="15">
        <v>2438</v>
      </c>
    </row>
    <row r="393" spans="25:26" x14ac:dyDescent="0.35">
      <c r="Y393" s="74" t="s">
        <v>198</v>
      </c>
      <c r="Z393" s="15">
        <v>17532</v>
      </c>
    </row>
    <row r="394" spans="25:26" x14ac:dyDescent="0.35">
      <c r="Y394" s="74" t="s">
        <v>490</v>
      </c>
      <c r="Z394" s="15">
        <v>115914</v>
      </c>
    </row>
    <row r="395" spans="25:26" x14ac:dyDescent="0.35">
      <c r="Y395" s="74" t="s">
        <v>19</v>
      </c>
      <c r="Z395" s="15">
        <v>947082968</v>
      </c>
    </row>
    <row r="396" spans="25:26" x14ac:dyDescent="0.35">
      <c r="Y396" s="74" t="s">
        <v>542</v>
      </c>
      <c r="Z396" s="15">
        <v>158921</v>
      </c>
    </row>
    <row r="397" spans="25:26" x14ac:dyDescent="0.35">
      <c r="Y397" s="74" t="s">
        <v>368</v>
      </c>
      <c r="Z397" s="15">
        <v>13913684</v>
      </c>
    </row>
    <row r="398" spans="25:26" x14ac:dyDescent="0.35">
      <c r="Y398" s="74" t="s">
        <v>551</v>
      </c>
      <c r="Z398" s="15">
        <v>240</v>
      </c>
    </row>
    <row r="399" spans="25:26" x14ac:dyDescent="0.35">
      <c r="Y399" s="74" t="s">
        <v>435</v>
      </c>
      <c r="Z399" s="15">
        <v>1776</v>
      </c>
    </row>
    <row r="400" spans="25:26" x14ac:dyDescent="0.35">
      <c r="Y400" s="74" t="s">
        <v>27</v>
      </c>
      <c r="Z400" s="15">
        <v>3832378</v>
      </c>
    </row>
    <row r="401" spans="25:26" x14ac:dyDescent="0.35">
      <c r="Y401" s="74" t="s">
        <v>402</v>
      </c>
      <c r="Z401" s="15">
        <v>164930</v>
      </c>
    </row>
    <row r="402" spans="25:26" x14ac:dyDescent="0.35">
      <c r="Y402" s="74" t="s">
        <v>16</v>
      </c>
      <c r="Z402" s="15">
        <v>22902529346</v>
      </c>
    </row>
    <row r="403" spans="25:26" x14ac:dyDescent="0.35">
      <c r="Y403" s="74" t="s">
        <v>72</v>
      </c>
      <c r="Z403" s="15">
        <v>1874312</v>
      </c>
    </row>
    <row r="404" spans="25:26" x14ac:dyDescent="0.35">
      <c r="Y404" s="74" t="s">
        <v>308</v>
      </c>
      <c r="Z404" s="15">
        <v>2444956</v>
      </c>
    </row>
    <row r="405" spans="25:26" x14ac:dyDescent="0.35">
      <c r="Y405" s="74" t="s">
        <v>322</v>
      </c>
      <c r="Z405" s="15">
        <v>4656295</v>
      </c>
    </row>
    <row r="406" spans="25:26" x14ac:dyDescent="0.35">
      <c r="Y406" s="74" t="s">
        <v>483</v>
      </c>
      <c r="Z406" s="15">
        <v>876284</v>
      </c>
    </row>
    <row r="407" spans="25:26" x14ac:dyDescent="0.35">
      <c r="Y407" s="74" t="s">
        <v>82</v>
      </c>
      <c r="Z407" s="15">
        <v>663357</v>
      </c>
    </row>
    <row r="408" spans="25:26" x14ac:dyDescent="0.35">
      <c r="Y408" s="74" t="s">
        <v>346</v>
      </c>
      <c r="Z408" s="15">
        <v>4788243</v>
      </c>
    </row>
    <row r="409" spans="25:26" x14ac:dyDescent="0.35">
      <c r="Y409" s="74" t="s">
        <v>336</v>
      </c>
      <c r="Z409" s="15">
        <v>5611958</v>
      </c>
    </row>
    <row r="410" spans="25:26" x14ac:dyDescent="0.35">
      <c r="Y410" s="74" t="s">
        <v>140</v>
      </c>
      <c r="Z410" s="15">
        <v>931081</v>
      </c>
    </row>
    <row r="411" spans="25:26" x14ac:dyDescent="0.35">
      <c r="Y411" s="74" t="s">
        <v>332</v>
      </c>
      <c r="Z411" s="15">
        <v>5818093</v>
      </c>
    </row>
    <row r="412" spans="25:26" x14ac:dyDescent="0.35">
      <c r="Y412" s="74" t="s">
        <v>91</v>
      </c>
      <c r="Z412" s="15">
        <v>298211</v>
      </c>
    </row>
    <row r="413" spans="25:26" x14ac:dyDescent="0.35">
      <c r="Y413" s="74" t="s">
        <v>84</v>
      </c>
      <c r="Z413" s="15">
        <v>3227641</v>
      </c>
    </row>
    <row r="414" spans="25:26" x14ac:dyDescent="0.35">
      <c r="Y414" s="74" t="s">
        <v>463</v>
      </c>
      <c r="Z414" s="15">
        <v>433406</v>
      </c>
    </row>
    <row r="415" spans="25:26" x14ac:dyDescent="0.35">
      <c r="Y415" s="74" t="s">
        <v>15</v>
      </c>
      <c r="Z415" s="15">
        <v>3848897507</v>
      </c>
    </row>
    <row r="416" spans="25:26" x14ac:dyDescent="0.35">
      <c r="Y416" s="74" t="s">
        <v>301</v>
      </c>
      <c r="Z416" s="15">
        <v>584771</v>
      </c>
    </row>
    <row r="417" spans="25:26" x14ac:dyDescent="0.35">
      <c r="Y417" s="74" t="s">
        <v>362</v>
      </c>
      <c r="Z417" s="15">
        <v>713174</v>
      </c>
    </row>
    <row r="418" spans="25:26" x14ac:dyDescent="0.35">
      <c r="Y418" s="74" t="s">
        <v>250</v>
      </c>
      <c r="Z418" s="15">
        <v>20181798</v>
      </c>
    </row>
    <row r="419" spans="25:26" x14ac:dyDescent="0.35">
      <c r="Y419" s="74" t="s">
        <v>25</v>
      </c>
      <c r="Z419" s="15">
        <v>3017414794</v>
      </c>
    </row>
    <row r="420" spans="25:26" x14ac:dyDescent="0.35">
      <c r="Y420" s="74" t="s">
        <v>51</v>
      </c>
      <c r="Z420" s="15">
        <v>12663323</v>
      </c>
    </row>
    <row r="421" spans="25:26" x14ac:dyDescent="0.35">
      <c r="Y421" s="74" t="s">
        <v>439</v>
      </c>
      <c r="Z421" s="15">
        <v>51982</v>
      </c>
    </row>
    <row r="422" spans="25:26" x14ac:dyDescent="0.35">
      <c r="Y422" s="74" t="s">
        <v>461</v>
      </c>
      <c r="Z422" s="15">
        <v>559825</v>
      </c>
    </row>
    <row r="423" spans="25:26" x14ac:dyDescent="0.35">
      <c r="Y423" s="74" t="s">
        <v>404</v>
      </c>
      <c r="Z423" s="15">
        <v>169770</v>
      </c>
    </row>
    <row r="424" spans="25:26" x14ac:dyDescent="0.35">
      <c r="Y424" s="74" t="s">
        <v>146</v>
      </c>
      <c r="Z424" s="15">
        <v>277630293086</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35E31-6EB8-46A9-A78F-656010A696E6}">
  <sheetPr codeName="Sheet5"/>
  <dimension ref="A3:K62"/>
  <sheetViews>
    <sheetView zoomScale="20" zoomScaleNormal="20" workbookViewId="0">
      <selection activeCell="R40" sqref="R40"/>
    </sheetView>
  </sheetViews>
  <sheetFormatPr defaultRowHeight="14.5" x14ac:dyDescent="0.35"/>
  <cols>
    <col min="1" max="1" width="39.6328125" style="117" bestFit="1" customWidth="1"/>
    <col min="2" max="2" width="29.6328125" style="117" bestFit="1" customWidth="1"/>
    <col min="3" max="3" width="135.81640625" style="117" customWidth="1"/>
    <col min="4" max="4" width="52.81640625" style="117" customWidth="1"/>
    <col min="5" max="5" width="70.7265625" style="117" customWidth="1"/>
    <col min="6" max="6" width="8.7265625" style="117"/>
    <col min="7" max="7" width="68.90625" style="117" customWidth="1"/>
    <col min="8" max="8" width="130.08984375" style="117" customWidth="1"/>
    <col min="9" max="9" width="45.7265625" style="117" customWidth="1"/>
    <col min="10" max="10" width="123.26953125" style="117" customWidth="1"/>
    <col min="11" max="11" width="85.1796875" style="117" customWidth="1"/>
    <col min="12" max="16384" width="8.7265625" style="117"/>
  </cols>
  <sheetData>
    <row r="3" spans="2:11" ht="15" thickBot="1" x14ac:dyDescent="0.4"/>
    <row r="4" spans="2:11" ht="15" thickTop="1" x14ac:dyDescent="0.35">
      <c r="B4" s="86"/>
      <c r="C4" s="87"/>
      <c r="D4" s="87"/>
      <c r="E4" s="87"/>
      <c r="F4" s="87"/>
      <c r="G4" s="87"/>
      <c r="H4" s="87"/>
      <c r="I4" s="87"/>
      <c r="J4" s="87"/>
      <c r="K4" s="88"/>
    </row>
    <row r="5" spans="2:11" ht="165.5" x14ac:dyDescent="3.55">
      <c r="B5" s="89"/>
      <c r="C5" s="85"/>
      <c r="D5" s="138" t="s">
        <v>573</v>
      </c>
      <c r="E5" s="85"/>
      <c r="F5" s="85"/>
      <c r="G5" s="85"/>
      <c r="H5" s="85"/>
      <c r="I5" s="85"/>
      <c r="J5" s="85"/>
      <c r="K5" s="90"/>
    </row>
    <row r="6" spans="2:11" x14ac:dyDescent="0.35">
      <c r="B6" s="89"/>
      <c r="C6" s="85"/>
      <c r="D6" s="85"/>
      <c r="E6" s="85"/>
      <c r="F6" s="85"/>
      <c r="G6" s="85"/>
      <c r="H6" s="85"/>
      <c r="I6" s="85"/>
      <c r="J6" s="85"/>
      <c r="K6" s="90"/>
    </row>
    <row r="7" spans="2:11" ht="15.5" x14ac:dyDescent="0.35">
      <c r="B7" s="89"/>
      <c r="C7" s="85"/>
      <c r="D7" s="85"/>
      <c r="E7" s="85"/>
      <c r="F7" s="85"/>
      <c r="G7" s="85"/>
      <c r="H7" s="85"/>
      <c r="I7" s="85"/>
      <c r="J7" s="85"/>
      <c r="K7" s="132"/>
    </row>
    <row r="8" spans="2:11" x14ac:dyDescent="0.35">
      <c r="B8" s="89"/>
      <c r="C8" s="85"/>
      <c r="D8" s="85"/>
      <c r="E8" s="85"/>
      <c r="F8" s="85"/>
      <c r="G8" s="85"/>
      <c r="H8" s="85"/>
      <c r="I8" s="85"/>
      <c r="J8" s="85"/>
      <c r="K8" s="90"/>
    </row>
    <row r="9" spans="2:11" x14ac:dyDescent="0.35">
      <c r="B9" s="89"/>
      <c r="C9" s="85"/>
      <c r="D9" s="85"/>
      <c r="E9" s="85"/>
      <c r="F9" s="85"/>
      <c r="G9" s="85"/>
      <c r="H9" s="85"/>
      <c r="I9" s="85"/>
      <c r="J9" s="85"/>
      <c r="K9" s="90"/>
    </row>
    <row r="10" spans="2:11" x14ac:dyDescent="0.35">
      <c r="B10" s="89"/>
      <c r="C10" s="85"/>
      <c r="D10" s="85"/>
      <c r="E10" s="85"/>
      <c r="F10" s="85"/>
      <c r="G10" s="85"/>
      <c r="H10" s="85"/>
      <c r="I10" s="85"/>
      <c r="J10" s="85"/>
      <c r="K10" s="90"/>
    </row>
    <row r="11" spans="2:11" x14ac:dyDescent="0.35">
      <c r="B11" s="89"/>
      <c r="C11" s="85"/>
      <c r="D11" s="85"/>
      <c r="E11" s="85"/>
      <c r="F11" s="85"/>
      <c r="G11" s="85"/>
      <c r="H11" s="85"/>
      <c r="I11" s="85"/>
      <c r="J11" s="85"/>
      <c r="K11" s="90"/>
    </row>
    <row r="12" spans="2:11" x14ac:dyDescent="0.35">
      <c r="B12" s="89"/>
      <c r="C12" s="85"/>
      <c r="D12" s="85"/>
      <c r="E12" s="85"/>
      <c r="F12" s="85"/>
      <c r="G12" s="85"/>
      <c r="H12" s="85"/>
      <c r="I12" s="85"/>
      <c r="J12" s="85"/>
      <c r="K12" s="90"/>
    </row>
    <row r="13" spans="2:11" x14ac:dyDescent="0.35">
      <c r="B13" s="89"/>
      <c r="C13" s="85"/>
      <c r="D13" s="85"/>
      <c r="E13" s="85"/>
      <c r="F13" s="85"/>
      <c r="G13" s="85"/>
      <c r="H13" s="85"/>
      <c r="I13" s="85"/>
      <c r="J13" s="85"/>
      <c r="K13" s="90"/>
    </row>
    <row r="14" spans="2:11" x14ac:dyDescent="0.35">
      <c r="B14" s="89"/>
      <c r="C14" s="85"/>
      <c r="D14" s="85"/>
      <c r="E14" s="85"/>
      <c r="F14" s="85"/>
      <c r="G14" s="85"/>
      <c r="H14" s="85"/>
      <c r="I14" s="85"/>
      <c r="J14" s="85"/>
      <c r="K14" s="90"/>
    </row>
    <row r="15" spans="2:11" x14ac:dyDescent="0.35">
      <c r="B15" s="89"/>
      <c r="C15" s="85"/>
      <c r="D15" s="85"/>
      <c r="E15" s="85"/>
      <c r="F15" s="85"/>
      <c r="G15" s="85"/>
      <c r="H15" s="85"/>
      <c r="I15" s="85"/>
      <c r="J15" s="85"/>
      <c r="K15" s="90"/>
    </row>
    <row r="16" spans="2:11" x14ac:dyDescent="0.35">
      <c r="B16" s="89"/>
      <c r="C16" s="85"/>
      <c r="D16" s="85"/>
      <c r="E16" s="85"/>
      <c r="F16" s="85"/>
      <c r="G16" s="85"/>
      <c r="H16" s="85"/>
      <c r="I16" s="85"/>
      <c r="J16" s="85"/>
      <c r="K16" s="90"/>
    </row>
    <row r="17" spans="2:11" x14ac:dyDescent="0.35">
      <c r="B17" s="89"/>
      <c r="C17" s="85"/>
      <c r="D17" s="85"/>
      <c r="E17" s="85"/>
      <c r="F17" s="85"/>
      <c r="G17" s="85"/>
      <c r="H17" s="85"/>
      <c r="I17" s="85"/>
      <c r="J17" s="85"/>
      <c r="K17" s="90"/>
    </row>
    <row r="18" spans="2:11" x14ac:dyDescent="0.35">
      <c r="B18" s="89"/>
      <c r="C18" s="85"/>
      <c r="D18" s="85"/>
      <c r="E18" s="85"/>
      <c r="F18" s="85"/>
      <c r="G18" s="85"/>
      <c r="H18" s="85"/>
      <c r="I18" s="85"/>
      <c r="J18" s="85"/>
      <c r="K18" s="90"/>
    </row>
    <row r="19" spans="2:11" x14ac:dyDescent="0.35">
      <c r="B19" s="89"/>
      <c r="C19" s="85"/>
      <c r="D19" s="85"/>
      <c r="E19" s="85"/>
      <c r="F19" s="85"/>
      <c r="G19" s="85"/>
      <c r="H19" s="85"/>
      <c r="I19" s="85"/>
      <c r="J19" s="85"/>
      <c r="K19" s="90"/>
    </row>
    <row r="20" spans="2:11" x14ac:dyDescent="0.35">
      <c r="B20" s="89"/>
      <c r="C20" s="85"/>
      <c r="D20" s="85"/>
      <c r="E20" s="85"/>
      <c r="F20" s="85"/>
      <c r="G20" s="85"/>
      <c r="H20" s="85"/>
      <c r="I20" s="85"/>
      <c r="J20" s="85"/>
      <c r="K20" s="90"/>
    </row>
    <row r="21" spans="2:11" x14ac:dyDescent="0.35">
      <c r="B21" s="89"/>
      <c r="C21" s="85"/>
      <c r="D21" s="85"/>
      <c r="E21" s="85"/>
      <c r="F21" s="85"/>
      <c r="G21" s="85"/>
      <c r="H21" s="85"/>
      <c r="I21" s="85"/>
      <c r="J21" s="85"/>
      <c r="K21" s="90"/>
    </row>
    <row r="22" spans="2:11" x14ac:dyDescent="0.35">
      <c r="B22" s="89"/>
      <c r="C22" s="85"/>
      <c r="D22" s="85"/>
      <c r="E22" s="85"/>
      <c r="F22" s="85"/>
      <c r="G22" s="85"/>
      <c r="H22" s="85"/>
      <c r="I22" s="85"/>
      <c r="J22" s="85"/>
      <c r="K22" s="90"/>
    </row>
    <row r="23" spans="2:11" x14ac:dyDescent="0.35">
      <c r="B23" s="89"/>
      <c r="C23" s="85"/>
      <c r="D23" s="85"/>
      <c r="E23" s="85"/>
      <c r="F23" s="85"/>
      <c r="G23" s="85"/>
      <c r="H23" s="85"/>
      <c r="I23" s="85"/>
      <c r="J23" s="85"/>
      <c r="K23" s="90"/>
    </row>
    <row r="24" spans="2:11" ht="80" customHeight="1" x14ac:dyDescent="0.35">
      <c r="B24" s="89"/>
      <c r="C24" s="85"/>
      <c r="D24" s="85"/>
      <c r="E24" s="85"/>
      <c r="F24" s="85"/>
      <c r="G24" s="85"/>
      <c r="H24" s="85"/>
      <c r="I24" s="85"/>
      <c r="J24" s="85"/>
      <c r="K24" s="90"/>
    </row>
    <row r="25" spans="2:11" ht="80" customHeight="1" thickBot="1" x14ac:dyDescent="0.4">
      <c r="B25" s="89"/>
      <c r="C25" s="85"/>
      <c r="D25" s="85"/>
      <c r="E25" s="85"/>
      <c r="F25" s="85"/>
      <c r="G25" s="85"/>
      <c r="H25" s="85"/>
      <c r="I25" s="85"/>
      <c r="J25" s="85"/>
      <c r="K25" s="90"/>
    </row>
    <row r="26" spans="2:11" ht="116.5" customHeight="1" thickTop="1" thickBot="1" x14ac:dyDescent="0.4">
      <c r="B26" s="89"/>
      <c r="C26" s="133" t="s">
        <v>0</v>
      </c>
      <c r="D26" s="134" t="s">
        <v>1</v>
      </c>
      <c r="E26" s="135" t="s">
        <v>570</v>
      </c>
      <c r="F26" s="85"/>
      <c r="G26" s="85"/>
      <c r="H26" s="85"/>
      <c r="I26" s="85"/>
      <c r="J26" s="85"/>
      <c r="K26" s="90"/>
    </row>
    <row r="27" spans="2:11" ht="116.5" customHeight="1" thickTop="1" thickBot="1" x14ac:dyDescent="0.4">
      <c r="B27" s="89"/>
      <c r="C27" s="126" t="str">
        <f t="shared" ref="C27:C36" si="0">A52</f>
        <v>Bitcoin</v>
      </c>
      <c r="D27" s="127" t="str">
        <f>VLOOKUP(A52,Data!A:B,2,FALSE)</f>
        <v>BTC</v>
      </c>
      <c r="E27" s="127">
        <f t="shared" ref="E27:E36" si="1">B52</f>
        <v>36.55937437537068</v>
      </c>
      <c r="F27" s="85"/>
      <c r="G27" s="85"/>
      <c r="H27" s="85"/>
      <c r="I27" s="85"/>
      <c r="J27" s="85"/>
      <c r="K27" s="90"/>
    </row>
    <row r="28" spans="2:11" ht="116.5" customHeight="1" thickBot="1" x14ac:dyDescent="0.4">
      <c r="B28" s="89"/>
      <c r="C28" s="128" t="str">
        <f t="shared" si="0"/>
        <v>Zcash</v>
      </c>
      <c r="D28" s="129" t="str">
        <f>VLOOKUP(A53,Data!A:B,2,FALSE)</f>
        <v>ZEC</v>
      </c>
      <c r="E28" s="129">
        <f t="shared" si="1"/>
        <v>13.015925031397899</v>
      </c>
      <c r="F28" s="85"/>
      <c r="G28" s="85"/>
      <c r="H28" s="85"/>
      <c r="I28" s="85"/>
      <c r="J28" s="85"/>
      <c r="K28" s="90"/>
    </row>
    <row r="29" spans="2:11" ht="116.5" customHeight="1" thickBot="1" x14ac:dyDescent="0.4">
      <c r="B29" s="89"/>
      <c r="C29" s="128" t="str">
        <f t="shared" si="0"/>
        <v>Matrixdock Gold</v>
      </c>
      <c r="D29" s="129" t="str">
        <f>VLOOKUP(A54,Data!A:B,2,FALSE)</f>
        <v>XAUM</v>
      </c>
      <c r="E29" s="129">
        <f t="shared" si="1"/>
        <v>9.4341628417478205</v>
      </c>
      <c r="F29" s="85"/>
      <c r="G29" s="85"/>
      <c r="H29" s="85"/>
      <c r="I29" s="85"/>
      <c r="J29" s="85"/>
      <c r="K29" s="90"/>
    </row>
    <row r="30" spans="2:11" ht="116.5" customHeight="1" thickBot="1" x14ac:dyDescent="0.4">
      <c r="B30" s="89"/>
      <c r="C30" s="128" t="str">
        <f t="shared" si="0"/>
        <v>Anthropic tokenized stock (PreStocks)</v>
      </c>
      <c r="D30" s="129" t="str">
        <f>VLOOKUP(A55,Data!A:B,2,FALSE)</f>
        <v>ANTHROPIC</v>
      </c>
      <c r="E30" s="129">
        <f t="shared" si="1"/>
        <v>5.631685382092769</v>
      </c>
      <c r="F30" s="85"/>
      <c r="G30" s="85"/>
      <c r="H30" s="85"/>
      <c r="I30" s="85"/>
      <c r="J30" s="85"/>
      <c r="K30" s="90"/>
    </row>
    <row r="31" spans="2:11" ht="116.5" customHeight="1" thickBot="1" x14ac:dyDescent="0.4">
      <c r="B31" s="89"/>
      <c r="C31" s="128" t="str">
        <f t="shared" si="0"/>
        <v>Ethereum</v>
      </c>
      <c r="D31" s="129" t="str">
        <f>VLOOKUP(A56,Data!A:B,2,FALSE)</f>
        <v>ETH</v>
      </c>
      <c r="E31" s="129">
        <f t="shared" si="1"/>
        <v>2.0430370518326981</v>
      </c>
      <c r="F31" s="85"/>
      <c r="G31" s="85"/>
      <c r="H31" s="85"/>
      <c r="I31" s="85"/>
      <c r="J31" s="85"/>
      <c r="K31" s="90"/>
    </row>
    <row r="32" spans="2:11" ht="116.5" customHeight="1" thickBot="1" x14ac:dyDescent="0.4">
      <c r="B32" s="89"/>
      <c r="C32" s="128" t="str">
        <f t="shared" si="0"/>
        <v>BNB</v>
      </c>
      <c r="D32" s="129" t="str">
        <f>VLOOKUP(A57,Data!A:B,2,FALSE)</f>
        <v>BNB</v>
      </c>
      <c r="E32" s="129">
        <f t="shared" si="1"/>
        <v>2.0178276033881275</v>
      </c>
      <c r="F32" s="85"/>
      <c r="G32" s="85"/>
      <c r="H32" s="85"/>
      <c r="I32" s="85"/>
      <c r="J32" s="85"/>
      <c r="K32" s="90"/>
    </row>
    <row r="33" spans="2:11" ht="116.5" customHeight="1" thickBot="1" x14ac:dyDescent="0.4">
      <c r="B33" s="89"/>
      <c r="C33" s="128" t="str">
        <f t="shared" si="0"/>
        <v>Eli Lilly Tokenized Stock (Ondo)</v>
      </c>
      <c r="D33" s="129" t="str">
        <f>VLOOKUP(A58,Data!A:B,2,FALSE)</f>
        <v>LLYon</v>
      </c>
      <c r="E33" s="129">
        <f t="shared" si="1"/>
        <v>1.0140353681686065</v>
      </c>
      <c r="F33" s="85"/>
      <c r="G33" s="85"/>
      <c r="H33" s="85"/>
      <c r="I33" s="85"/>
      <c r="J33" s="85"/>
      <c r="K33" s="90"/>
    </row>
    <row r="34" spans="2:11" ht="116.5" customHeight="1" thickBot="1" x14ac:dyDescent="0.4">
      <c r="B34" s="89"/>
      <c r="C34" s="128" t="str">
        <f t="shared" si="0"/>
        <v>Marvell Technology Tokenized Stock (Ondo)</v>
      </c>
      <c r="D34" s="129" t="str">
        <f>VLOOKUP(A59,Data!A:B,2,FALSE)</f>
        <v>MRVLon</v>
      </c>
      <c r="E34" s="129">
        <f t="shared" si="1"/>
        <v>0.88938502940300168</v>
      </c>
      <c r="F34" s="85"/>
      <c r="G34" s="85"/>
      <c r="H34" s="85"/>
      <c r="I34" s="85"/>
      <c r="J34" s="85"/>
      <c r="K34" s="90"/>
    </row>
    <row r="35" spans="2:11" ht="116.5" customHeight="1" thickBot="1" x14ac:dyDescent="0.4">
      <c r="B35" s="89"/>
      <c r="C35" s="128" t="str">
        <f t="shared" si="0"/>
        <v>SpaceX tokenized stock (PreStocks)</v>
      </c>
      <c r="D35" s="129" t="str">
        <f>VLOOKUP(A60,Data!A:B,2,FALSE)</f>
        <v>SPACEX</v>
      </c>
      <c r="E35" s="129">
        <f t="shared" si="1"/>
        <v>0.71444555444543312</v>
      </c>
      <c r="F35" s="85"/>
      <c r="G35" s="85"/>
      <c r="H35" s="85"/>
      <c r="I35" s="85"/>
      <c r="J35" s="85"/>
      <c r="K35" s="90"/>
    </row>
    <row r="36" spans="2:11" ht="116.5" customHeight="1" thickBot="1" x14ac:dyDescent="0.4">
      <c r="B36" s="89"/>
      <c r="C36" s="130" t="str">
        <f t="shared" si="0"/>
        <v>TQQQ tokenized ETF (xStock)</v>
      </c>
      <c r="D36" s="131" t="str">
        <f>VLOOKUP(A61,Data!A:B,2,FALSE)</f>
        <v>TQQQX</v>
      </c>
      <c r="E36" s="131">
        <f t="shared" si="1"/>
        <v>0.70014858841011574</v>
      </c>
      <c r="F36" s="85"/>
      <c r="G36" s="85"/>
      <c r="H36" s="85"/>
      <c r="I36" s="85"/>
      <c r="J36" s="85"/>
      <c r="K36" s="90"/>
    </row>
    <row r="37" spans="2:11" ht="96" customHeight="1" thickTop="1" x14ac:dyDescent="0.35">
      <c r="B37" s="89"/>
      <c r="C37" s="85"/>
      <c r="D37" s="85"/>
      <c r="E37" s="85"/>
      <c r="F37" s="85"/>
      <c r="G37" s="85"/>
      <c r="H37" s="85"/>
      <c r="I37" s="85"/>
      <c r="J37" s="85"/>
      <c r="K37" s="90"/>
    </row>
    <row r="38" spans="2:11" ht="77" customHeight="1" thickBot="1" x14ac:dyDescent="0.4">
      <c r="B38" s="91"/>
      <c r="C38" s="92"/>
      <c r="D38" s="92"/>
      <c r="E38" s="92"/>
      <c r="F38" s="92"/>
      <c r="G38" s="92"/>
      <c r="H38" s="92"/>
      <c r="I38" s="92"/>
      <c r="J38" s="92"/>
      <c r="K38" s="93"/>
    </row>
    <row r="39" spans="2:11" ht="48" customHeight="1" thickTop="1" x14ac:dyDescent="0.35"/>
    <row r="40" spans="2:11" ht="48" customHeight="1" x14ac:dyDescent="0.35"/>
    <row r="41" spans="2:11" ht="48" customHeight="1" x14ac:dyDescent="0.35"/>
    <row r="42" spans="2:11" ht="48" customHeight="1" x14ac:dyDescent="0.35"/>
    <row r="43" spans="2:11" ht="48" customHeight="1" x14ac:dyDescent="0.35"/>
    <row r="44" spans="2:11" ht="48" customHeight="1" x14ac:dyDescent="0.35"/>
    <row r="45" spans="2:11" ht="48" customHeight="1" x14ac:dyDescent="0.35"/>
    <row r="46" spans="2:11" ht="48" customHeight="1" x14ac:dyDescent="0.35"/>
    <row r="47" spans="2:11" ht="48" customHeight="1" x14ac:dyDescent="0.35"/>
    <row r="48" spans="2:11" ht="48" customHeight="1" x14ac:dyDescent="0.35"/>
    <row r="49" spans="1:11" ht="15.5" hidden="1" thickTop="1" thickBot="1" x14ac:dyDescent="0.4">
      <c r="A49" s="117" t="s">
        <v>571</v>
      </c>
      <c r="B49" s="136" t="s">
        <v>567</v>
      </c>
      <c r="K49" s="120"/>
    </row>
    <row r="50" spans="1:11" hidden="1" x14ac:dyDescent="0.35">
      <c r="B50" s="116"/>
      <c r="K50" s="120"/>
    </row>
    <row r="51" spans="1:11" ht="15.5" hidden="1" thickTop="1" thickBot="1" x14ac:dyDescent="0.4">
      <c r="A51" s="117" t="s">
        <v>156</v>
      </c>
      <c r="B51" s="136" t="s">
        <v>572</v>
      </c>
      <c r="K51" s="120"/>
    </row>
    <row r="52" spans="1:11" ht="15" hidden="1" thickTop="1" x14ac:dyDescent="0.35">
      <c r="A52" s="137" t="s">
        <v>8</v>
      </c>
      <c r="B52" s="153">
        <v>36.55937437537068</v>
      </c>
      <c r="K52" s="120"/>
    </row>
    <row r="53" spans="1:11" hidden="1" x14ac:dyDescent="0.35">
      <c r="A53" s="137" t="s">
        <v>25</v>
      </c>
      <c r="B53" s="154">
        <v>13.015925031397899</v>
      </c>
      <c r="K53" s="120"/>
    </row>
    <row r="54" spans="1:11" hidden="1" x14ac:dyDescent="0.35">
      <c r="A54" s="137" t="s">
        <v>212</v>
      </c>
      <c r="B54" s="154">
        <v>9.4341628417478205</v>
      </c>
      <c r="K54" s="120"/>
    </row>
    <row r="55" spans="1:11" hidden="1" x14ac:dyDescent="0.35">
      <c r="A55" s="137" t="s">
        <v>360</v>
      </c>
      <c r="B55" s="154">
        <v>5.631685382092769</v>
      </c>
      <c r="K55" s="120"/>
    </row>
    <row r="56" spans="1:11" hidden="1" x14ac:dyDescent="0.35">
      <c r="A56" s="137" t="s">
        <v>10</v>
      </c>
      <c r="B56" s="154">
        <v>2.0430370518326981</v>
      </c>
      <c r="K56" s="120"/>
    </row>
    <row r="57" spans="1:11" hidden="1" x14ac:dyDescent="0.35">
      <c r="A57" s="137" t="s">
        <v>14</v>
      </c>
      <c r="B57" s="154">
        <v>2.0178276033881275</v>
      </c>
      <c r="K57" s="120"/>
    </row>
    <row r="58" spans="1:11" hidden="1" x14ac:dyDescent="0.35">
      <c r="A58" s="137" t="s">
        <v>413</v>
      </c>
      <c r="B58" s="154">
        <v>1.0140353681686065</v>
      </c>
      <c r="K58" s="120"/>
    </row>
    <row r="59" spans="1:11" hidden="1" x14ac:dyDescent="0.35">
      <c r="A59" s="137" t="s">
        <v>243</v>
      </c>
      <c r="B59" s="154">
        <v>0.88938502940300168</v>
      </c>
      <c r="K59" s="120"/>
    </row>
    <row r="60" spans="1:11" hidden="1" x14ac:dyDescent="0.35">
      <c r="A60" s="137" t="s">
        <v>394</v>
      </c>
      <c r="B60" s="154">
        <v>0.71444555444543312</v>
      </c>
      <c r="K60" s="120"/>
    </row>
    <row r="61" spans="1:11" hidden="1" x14ac:dyDescent="0.35">
      <c r="A61" s="137" t="s">
        <v>198</v>
      </c>
      <c r="B61" s="154">
        <v>0.70014858841011574</v>
      </c>
      <c r="K61" s="120"/>
    </row>
    <row r="62" spans="1:11" ht="15" hidden="1" thickBot="1" x14ac:dyDescent="0.4">
      <c r="A62" s="137" t="s">
        <v>146</v>
      </c>
      <c r="B62" s="155">
        <v>72.020026826257151</v>
      </c>
      <c r="K62" s="120"/>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51A6-4935-4326-A562-7494874121B5}">
  <sheetPr codeName="Sheet6"/>
  <dimension ref="E1:K85"/>
  <sheetViews>
    <sheetView topLeftCell="B1" zoomScale="85" zoomScaleNormal="164" workbookViewId="0">
      <selection activeCell="O21" sqref="O21"/>
    </sheetView>
  </sheetViews>
  <sheetFormatPr defaultRowHeight="14.5" x14ac:dyDescent="0.35"/>
  <cols>
    <col min="1" max="1" width="14.1796875" style="15" bestFit="1" customWidth="1"/>
    <col min="2" max="2" width="19.1796875" style="15" bestFit="1" customWidth="1"/>
    <col min="3" max="3" width="14.81640625" style="15" bestFit="1" customWidth="1"/>
    <col min="4" max="4" width="13.81640625" style="15" bestFit="1" customWidth="1"/>
    <col min="5" max="5" width="8.7265625" style="15"/>
    <col min="6" max="6" width="14.1796875" style="15" bestFit="1" customWidth="1"/>
    <col min="7" max="7" width="19.36328125" style="15" bestFit="1" customWidth="1"/>
    <col min="8" max="8" width="15.1796875" style="15" bestFit="1" customWidth="1"/>
    <col min="9" max="9" width="14.08984375" style="15" bestFit="1" customWidth="1"/>
    <col min="10" max="10" width="8.7265625" style="15"/>
    <col min="11" max="11" width="10.6328125" style="15" customWidth="1"/>
    <col min="12" max="16384" width="8.7265625" style="15"/>
  </cols>
  <sheetData>
    <row r="1" spans="5:11" ht="10.5" customHeight="1" thickTop="1" x14ac:dyDescent="0.35">
      <c r="E1" s="75"/>
      <c r="F1" s="76"/>
      <c r="G1" s="76"/>
      <c r="H1" s="76"/>
      <c r="I1" s="76"/>
      <c r="J1" s="76"/>
      <c r="K1" s="77"/>
    </row>
    <row r="2" spans="5:11" ht="35.5" customHeight="1" x14ac:dyDescent="0.9">
      <c r="E2" s="78"/>
      <c r="F2" s="94" t="s">
        <v>925</v>
      </c>
      <c r="G2" s="79"/>
      <c r="H2" s="79"/>
      <c r="I2" s="79"/>
      <c r="J2" s="79"/>
      <c r="K2" s="80"/>
    </row>
    <row r="3" spans="5:11" x14ac:dyDescent="0.35">
      <c r="E3" s="78"/>
      <c r="F3" s="79"/>
      <c r="G3" s="79"/>
      <c r="H3" s="79"/>
      <c r="I3" s="79"/>
      <c r="J3" s="79"/>
      <c r="K3" s="80"/>
    </row>
    <row r="4" spans="5:11" x14ac:dyDescent="0.35">
      <c r="E4" s="78"/>
      <c r="F4" s="79"/>
      <c r="G4" s="79"/>
      <c r="H4" s="79"/>
      <c r="I4" s="79"/>
      <c r="J4" s="79"/>
      <c r="K4" s="80"/>
    </row>
    <row r="5" spans="5:11" x14ac:dyDescent="0.35">
      <c r="E5" s="78"/>
      <c r="F5" s="79"/>
      <c r="G5" s="79"/>
      <c r="H5" s="79"/>
      <c r="I5" s="79"/>
      <c r="J5" s="79"/>
      <c r="K5" s="80"/>
    </row>
    <row r="6" spans="5:11" x14ac:dyDescent="0.35">
      <c r="E6" s="78"/>
      <c r="F6" s="79"/>
      <c r="G6" s="79"/>
      <c r="H6" s="79"/>
      <c r="I6" s="79"/>
      <c r="J6" s="79"/>
      <c r="K6" s="80"/>
    </row>
    <row r="7" spans="5:11" x14ac:dyDescent="0.35">
      <c r="E7" s="78"/>
      <c r="F7" s="79"/>
      <c r="G7" s="79"/>
      <c r="H7" s="79"/>
      <c r="I7" s="79"/>
      <c r="J7" s="79"/>
      <c r="K7" s="80"/>
    </row>
    <row r="8" spans="5:11" ht="9.5" customHeight="1" x14ac:dyDescent="0.35">
      <c r="E8" s="78"/>
      <c r="F8" s="79"/>
      <c r="G8" s="79"/>
      <c r="H8" s="79"/>
      <c r="I8" s="79"/>
      <c r="J8" s="79"/>
      <c r="K8" s="80"/>
    </row>
    <row r="9" spans="5:11" ht="26" customHeight="1" x14ac:dyDescent="0.35">
      <c r="E9" s="78"/>
      <c r="F9" s="79"/>
      <c r="G9" s="79"/>
      <c r="H9" s="79"/>
      <c r="I9" s="79"/>
      <c r="J9" s="79"/>
      <c r="K9" s="80"/>
    </row>
    <row r="10" spans="5:11" ht="23.5" customHeight="1" x14ac:dyDescent="0.7">
      <c r="E10" s="78"/>
      <c r="F10" s="95" t="s">
        <v>926</v>
      </c>
      <c r="G10" s="79"/>
      <c r="H10" s="79"/>
      <c r="I10" s="79"/>
      <c r="J10" s="79"/>
      <c r="K10" s="80"/>
    </row>
    <row r="11" spans="5:11" ht="20" customHeight="1" x14ac:dyDescent="0.35">
      <c r="E11" s="78"/>
      <c r="F11" s="79"/>
      <c r="G11" s="79"/>
      <c r="H11" s="79"/>
      <c r="I11" s="79"/>
      <c r="J11" s="79"/>
      <c r="K11" s="80"/>
    </row>
    <row r="12" spans="5:11" x14ac:dyDescent="0.35">
      <c r="E12" s="78"/>
      <c r="F12" s="79"/>
      <c r="G12" s="79"/>
      <c r="H12" s="79"/>
      <c r="I12" s="79"/>
      <c r="J12" s="79"/>
      <c r="K12" s="80"/>
    </row>
    <row r="13" spans="5:11" x14ac:dyDescent="0.35">
      <c r="E13" s="78"/>
      <c r="F13" s="79"/>
      <c r="G13" s="79"/>
      <c r="H13" s="79"/>
      <c r="I13" s="79"/>
      <c r="J13" s="79"/>
      <c r="K13" s="80"/>
    </row>
    <row r="14" spans="5:11" x14ac:dyDescent="0.35">
      <c r="E14" s="78"/>
      <c r="F14" s="79"/>
      <c r="G14" s="79"/>
      <c r="H14" s="79"/>
      <c r="I14" s="79"/>
      <c r="J14" s="79"/>
      <c r="K14" s="80"/>
    </row>
    <row r="15" spans="5:11" x14ac:dyDescent="0.35">
      <c r="E15" s="78"/>
      <c r="F15" s="79"/>
      <c r="G15" s="79"/>
      <c r="H15" s="79"/>
      <c r="I15" s="79"/>
      <c r="J15" s="79"/>
      <c r="K15" s="80"/>
    </row>
    <row r="16" spans="5:11" x14ac:dyDescent="0.35">
      <c r="E16" s="78"/>
      <c r="F16" s="79"/>
      <c r="G16" s="79"/>
      <c r="H16" s="79"/>
      <c r="I16" s="79"/>
      <c r="J16" s="79"/>
      <c r="K16" s="80"/>
    </row>
    <row r="17" spans="5:11" x14ac:dyDescent="0.35">
      <c r="E17" s="78"/>
      <c r="F17" s="79"/>
      <c r="G17" s="79"/>
      <c r="H17" s="79"/>
      <c r="I17" s="79"/>
      <c r="J17" s="79"/>
      <c r="K17" s="80"/>
    </row>
    <row r="18" spans="5:11" x14ac:dyDescent="0.35">
      <c r="E18" s="78"/>
      <c r="F18" s="79"/>
      <c r="G18" s="79"/>
      <c r="H18" s="79"/>
      <c r="I18" s="79"/>
      <c r="J18" s="79"/>
      <c r="K18" s="80"/>
    </row>
    <row r="19" spans="5:11" x14ac:dyDescent="0.35">
      <c r="E19" s="78"/>
      <c r="F19" s="79"/>
      <c r="G19" s="79"/>
      <c r="H19" s="79"/>
      <c r="I19" s="79"/>
      <c r="J19" s="79"/>
      <c r="K19" s="80"/>
    </row>
    <row r="20" spans="5:11" x14ac:dyDescent="0.35">
      <c r="E20" s="78"/>
      <c r="F20" s="79"/>
      <c r="G20" s="79"/>
      <c r="H20" s="79"/>
      <c r="I20" s="79"/>
      <c r="J20" s="79"/>
      <c r="K20" s="80"/>
    </row>
    <row r="21" spans="5:11" x14ac:dyDescent="0.35">
      <c r="E21" s="78"/>
      <c r="F21" s="79"/>
      <c r="G21" s="79"/>
      <c r="H21" s="79"/>
      <c r="I21" s="79"/>
      <c r="J21" s="79"/>
      <c r="K21" s="80"/>
    </row>
    <row r="22" spans="5:11" x14ac:dyDescent="0.35">
      <c r="E22" s="78"/>
      <c r="F22" s="79"/>
      <c r="G22" s="79"/>
      <c r="H22" s="79"/>
      <c r="I22" s="79"/>
      <c r="J22" s="79"/>
      <c r="K22" s="80"/>
    </row>
    <row r="23" spans="5:11" x14ac:dyDescent="0.35">
      <c r="E23" s="78"/>
      <c r="F23" s="79"/>
      <c r="G23" s="79"/>
      <c r="H23" s="79"/>
      <c r="I23" s="79"/>
      <c r="J23" s="79"/>
      <c r="K23" s="80"/>
    </row>
    <row r="24" spans="5:11" x14ac:dyDescent="0.35">
      <c r="E24" s="78"/>
      <c r="F24" s="79"/>
      <c r="G24" s="79"/>
      <c r="H24" s="79"/>
      <c r="I24" s="79"/>
      <c r="J24" s="79"/>
      <c r="K24" s="80"/>
    </row>
    <row r="25" spans="5:11" ht="67" customHeight="1" x14ac:dyDescent="0.35">
      <c r="E25" s="78"/>
      <c r="F25" s="79"/>
      <c r="G25" s="79"/>
      <c r="H25" s="79"/>
      <c r="I25" s="79"/>
      <c r="J25" s="79"/>
      <c r="K25" s="80"/>
    </row>
    <row r="26" spans="5:11" ht="49" customHeight="1" thickBot="1" x14ac:dyDescent="0.4">
      <c r="E26" s="81"/>
      <c r="F26" s="82"/>
      <c r="G26" s="82"/>
      <c r="H26" s="82"/>
      <c r="I26" s="82"/>
      <c r="J26" s="82"/>
      <c r="K26" s="83"/>
    </row>
    <row r="27" spans="5:11" ht="15" thickTop="1" x14ac:dyDescent="0.35"/>
    <row r="72" spans="6:9" hidden="1" x14ac:dyDescent="0.35"/>
    <row r="73" spans="6:9" hidden="1" x14ac:dyDescent="0.35"/>
    <row r="74" spans="6:9" hidden="1" x14ac:dyDescent="0.35">
      <c r="F74" s="15" t="s">
        <v>0</v>
      </c>
      <c r="G74" s="139" t="s">
        <v>922</v>
      </c>
      <c r="H74" s="139" t="s">
        <v>924</v>
      </c>
      <c r="I74" s="139" t="s">
        <v>923</v>
      </c>
    </row>
    <row r="75" spans="6:9" hidden="1" x14ac:dyDescent="0.35">
      <c r="F75" s="74" t="s">
        <v>850</v>
      </c>
      <c r="G75" s="156">
        <v>5.45E-2</v>
      </c>
      <c r="H75" s="156">
        <v>1.3603899784604919E-3</v>
      </c>
      <c r="I75" s="156">
        <v>1.0418475429762111E-3</v>
      </c>
    </row>
    <row r="76" spans="6:9" hidden="1" x14ac:dyDescent="0.35">
      <c r="F76" s="74" t="s">
        <v>880</v>
      </c>
      <c r="G76" s="156">
        <v>8.3400000000000002E-2</v>
      </c>
      <c r="H76" s="156">
        <v>5.8396239851872958E-3</v>
      </c>
      <c r="I76" s="156">
        <v>3.469871360866622E-3</v>
      </c>
    </row>
    <row r="77" spans="6:9" hidden="1" x14ac:dyDescent="0.35">
      <c r="F77" s="74" t="s">
        <v>652</v>
      </c>
      <c r="G77" s="156">
        <v>4.6399999999999997E-2</v>
      </c>
      <c r="H77" s="156">
        <v>2.3138832997987926E-2</v>
      </c>
      <c r="I77" s="156">
        <v>1.6276272026042034E-2</v>
      </c>
    </row>
    <row r="78" spans="6:9" hidden="1" x14ac:dyDescent="0.35">
      <c r="F78" s="74" t="s">
        <v>613</v>
      </c>
      <c r="G78" s="156">
        <v>7.1400000000000005E-2</v>
      </c>
      <c r="H78" s="156">
        <v>2.7697989331144854E-3</v>
      </c>
      <c r="I78" s="156">
        <v>2.3031647189286023E-3</v>
      </c>
    </row>
    <row r="79" spans="6:9" hidden="1" x14ac:dyDescent="0.35">
      <c r="F79" s="74" t="s">
        <v>823</v>
      </c>
      <c r="G79" s="156">
        <v>0.3</v>
      </c>
      <c r="H79" s="156">
        <v>2.0694913408125476E-3</v>
      </c>
      <c r="I79" s="156">
        <v>1.6643307638402243E-3</v>
      </c>
    </row>
    <row r="80" spans="6:9" hidden="1" x14ac:dyDescent="0.35">
      <c r="F80" s="74" t="s">
        <v>592</v>
      </c>
      <c r="G80" s="156">
        <v>5.04E-2</v>
      </c>
      <c r="H80" s="156">
        <v>0.1217265867731913</v>
      </c>
      <c r="I80" s="156">
        <v>9.8571300206667267E-2</v>
      </c>
    </row>
    <row r="81" spans="6:9" hidden="1" x14ac:dyDescent="0.35">
      <c r="F81" s="74" t="s">
        <v>871</v>
      </c>
      <c r="G81" s="156">
        <v>8.1199999999999994E-2</v>
      </c>
      <c r="H81" s="156">
        <v>1.1749895090222407E-2</v>
      </c>
      <c r="I81" s="156">
        <v>1.061611374407583E-2</v>
      </c>
    </row>
    <row r="82" spans="6:9" hidden="1" x14ac:dyDescent="0.35">
      <c r="F82" s="74" t="s">
        <v>641</v>
      </c>
      <c r="G82" s="156">
        <v>0.17449999999999999</v>
      </c>
      <c r="H82" s="156">
        <v>1.6312556640821669E-2</v>
      </c>
      <c r="I82" s="156">
        <v>2.1141649048625789E-3</v>
      </c>
    </row>
    <row r="83" spans="6:9" hidden="1" x14ac:dyDescent="0.35">
      <c r="F83" s="74" t="s">
        <v>631</v>
      </c>
      <c r="G83" s="156">
        <v>6.0100000000000001E-2</v>
      </c>
      <c r="H83" s="156">
        <v>6.0840707964601774E-2</v>
      </c>
      <c r="I83" s="156">
        <v>3.5720611678573537E-2</v>
      </c>
    </row>
    <row r="84" spans="6:9" hidden="1" x14ac:dyDescent="0.35">
      <c r="F84" s="74" t="s">
        <v>909</v>
      </c>
      <c r="G84" s="156">
        <v>8.2000000000000003E-2</v>
      </c>
      <c r="H84" s="156">
        <v>1.2708095056551023E-3</v>
      </c>
      <c r="I84" s="156">
        <v>9.9621438533572431E-4</v>
      </c>
    </row>
    <row r="85" spans="6:9" hidden="1" x14ac:dyDescent="0.35">
      <c r="F85" s="74" t="s">
        <v>146</v>
      </c>
      <c r="G85" s="156">
        <v>1.0039</v>
      </c>
      <c r="H85" s="156">
        <v>0.24707869321005502</v>
      </c>
      <c r="I85" s="156">
        <v>0.17277389133216864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F9680-0B7B-4564-8D0D-3194D92DEB28}">
  <sheetPr codeName="Sheet7"/>
  <dimension ref="A1:Z547"/>
  <sheetViews>
    <sheetView topLeftCell="B1" zoomScale="76" zoomScaleNormal="69" workbookViewId="0">
      <selection activeCell="V14" sqref="V14"/>
    </sheetView>
  </sheetViews>
  <sheetFormatPr defaultRowHeight="14.5" x14ac:dyDescent="0.35"/>
  <cols>
    <col min="1" max="1" width="16.6328125" style="52" bestFit="1" customWidth="1"/>
    <col min="2" max="2" width="28" style="52" bestFit="1" customWidth="1"/>
    <col min="3" max="3" width="18" style="52" bestFit="1" customWidth="1"/>
    <col min="4" max="4" width="24.54296875" style="52" customWidth="1"/>
    <col min="5" max="15" width="8.7265625" style="52"/>
    <col min="16" max="16" width="7.81640625" style="52" customWidth="1"/>
    <col min="17" max="17" width="10.6328125" style="52" customWidth="1"/>
    <col min="18" max="23" width="8.7265625" style="52"/>
    <col min="24" max="24" width="64.453125" style="52" bestFit="1" customWidth="1"/>
    <col min="25" max="25" width="38.26953125" style="52" bestFit="1" customWidth="1"/>
    <col min="26" max="26" width="24.54296875" style="52" bestFit="1" customWidth="1"/>
    <col min="27" max="16384" width="8.7265625" style="52"/>
  </cols>
  <sheetData>
    <row r="1" spans="3:26" ht="15" thickBot="1" x14ac:dyDescent="0.4"/>
    <row r="2" spans="3:26" ht="15" thickTop="1" x14ac:dyDescent="0.35">
      <c r="C2" s="98"/>
      <c r="D2" s="99"/>
      <c r="E2" s="99"/>
      <c r="F2" s="99"/>
      <c r="G2" s="99"/>
      <c r="H2" s="99"/>
      <c r="I2" s="99"/>
      <c r="J2" s="99"/>
      <c r="K2" s="99"/>
      <c r="L2" s="99"/>
      <c r="M2" s="99"/>
      <c r="N2" s="99"/>
      <c r="O2" s="99"/>
      <c r="P2" s="99"/>
      <c r="Q2" s="100"/>
    </row>
    <row r="3" spans="3:26" ht="54" x14ac:dyDescent="1.2">
      <c r="C3" s="101"/>
      <c r="D3" s="102" t="s">
        <v>929</v>
      </c>
      <c r="E3" s="103"/>
      <c r="F3" s="103"/>
      <c r="G3" s="103"/>
      <c r="H3" s="103"/>
      <c r="I3" s="103"/>
      <c r="J3" s="103"/>
      <c r="K3" s="103"/>
      <c r="L3" s="103"/>
      <c r="M3" s="103"/>
      <c r="N3" s="103"/>
      <c r="O3" s="103"/>
      <c r="P3" s="103"/>
      <c r="Q3" s="104"/>
    </row>
    <row r="4" spans="3:26" x14ac:dyDescent="0.35">
      <c r="C4" s="101"/>
      <c r="D4" s="103"/>
      <c r="E4" s="103"/>
      <c r="F4" s="103"/>
      <c r="G4" s="103"/>
      <c r="H4" s="103"/>
      <c r="I4" s="103"/>
      <c r="J4" s="103"/>
      <c r="K4" s="103"/>
      <c r="L4" s="103"/>
      <c r="M4" s="103"/>
      <c r="N4" s="103"/>
      <c r="O4" s="103"/>
      <c r="P4" s="103"/>
      <c r="Q4" s="104"/>
    </row>
    <row r="5" spans="3:26" x14ac:dyDescent="0.35">
      <c r="C5" s="101"/>
      <c r="D5" s="103"/>
      <c r="E5" s="103"/>
      <c r="F5" s="103"/>
      <c r="G5" s="103"/>
      <c r="H5" s="103"/>
      <c r="I5" s="103"/>
      <c r="J5" s="103"/>
      <c r="K5" s="103"/>
      <c r="L5" s="103"/>
      <c r="M5" s="103"/>
      <c r="N5" s="103"/>
      <c r="O5" s="103"/>
      <c r="P5" s="103"/>
      <c r="Q5" s="104"/>
    </row>
    <row r="6" spans="3:26" x14ac:dyDescent="0.35">
      <c r="C6" s="101"/>
      <c r="D6" s="103"/>
      <c r="E6" s="103"/>
      <c r="F6" s="103"/>
      <c r="G6" s="103"/>
      <c r="H6" s="103"/>
      <c r="I6" s="103"/>
      <c r="J6" s="103"/>
      <c r="K6" s="103"/>
      <c r="L6" s="103"/>
      <c r="M6" s="103"/>
      <c r="N6" s="103"/>
      <c r="O6" s="103"/>
      <c r="P6" s="103"/>
      <c r="Q6" s="104"/>
    </row>
    <row r="7" spans="3:26" x14ac:dyDescent="0.35">
      <c r="C7" s="101"/>
      <c r="D7" s="103"/>
      <c r="E7" s="103"/>
      <c r="F7" s="103"/>
      <c r="G7" s="103"/>
      <c r="H7" s="103"/>
      <c r="I7" s="103"/>
      <c r="J7" s="103"/>
      <c r="K7" s="103"/>
      <c r="L7" s="103"/>
      <c r="M7" s="103"/>
      <c r="N7" s="103"/>
      <c r="O7" s="103"/>
      <c r="P7" s="103"/>
      <c r="Q7" s="104"/>
      <c r="Z7" s="52">
        <f>SUBTOTAL(3,A247:A543)-1</f>
        <v>296</v>
      </c>
    </row>
    <row r="8" spans="3:26" x14ac:dyDescent="0.35">
      <c r="C8" s="101"/>
      <c r="D8" s="103"/>
      <c r="E8" s="103"/>
      <c r="F8" s="103"/>
      <c r="G8" s="103"/>
      <c r="H8" s="103"/>
      <c r="I8" s="103"/>
      <c r="J8" s="103"/>
      <c r="K8" s="103"/>
      <c r="L8" s="103"/>
      <c r="M8" s="103"/>
      <c r="N8" s="103"/>
      <c r="O8" s="103"/>
      <c r="P8" s="103"/>
      <c r="Q8" s="104"/>
    </row>
    <row r="9" spans="3:26" x14ac:dyDescent="0.35">
      <c r="C9" s="101"/>
      <c r="D9" s="103"/>
      <c r="E9" s="103"/>
      <c r="F9" s="103"/>
      <c r="G9" s="103"/>
      <c r="H9" s="103"/>
      <c r="I9" s="103"/>
      <c r="J9" s="103"/>
      <c r="K9" s="103"/>
      <c r="L9" s="103"/>
      <c r="M9" s="103"/>
      <c r="N9" s="103"/>
      <c r="O9" s="103"/>
      <c r="P9" s="103"/>
      <c r="Q9" s="104"/>
    </row>
    <row r="10" spans="3:26" x14ac:dyDescent="0.35">
      <c r="C10" s="101"/>
      <c r="D10" s="103"/>
      <c r="E10" s="103"/>
      <c r="F10" s="103"/>
      <c r="G10" s="103"/>
      <c r="H10" s="103"/>
      <c r="I10" s="103"/>
      <c r="J10" s="103"/>
      <c r="K10" s="103"/>
      <c r="L10" s="103"/>
      <c r="M10" s="103"/>
      <c r="N10" s="103"/>
      <c r="O10" s="103"/>
      <c r="P10" s="103"/>
      <c r="Q10" s="104"/>
    </row>
    <row r="11" spans="3:26" x14ac:dyDescent="0.35">
      <c r="C11" s="101"/>
      <c r="D11" s="103"/>
      <c r="E11" s="103"/>
      <c r="F11" s="103"/>
      <c r="G11" s="103"/>
      <c r="H11" s="103"/>
      <c r="I11" s="103"/>
      <c r="J11" s="103"/>
      <c r="K11" s="103"/>
      <c r="L11" s="103"/>
      <c r="M11" s="103"/>
      <c r="N11" s="103"/>
      <c r="O11" s="103"/>
      <c r="P11" s="103"/>
      <c r="Q11" s="104"/>
    </row>
    <row r="12" spans="3:26" x14ac:dyDescent="0.35">
      <c r="C12" s="101"/>
      <c r="D12" s="103"/>
      <c r="E12" s="103"/>
      <c r="F12" s="103"/>
      <c r="G12" s="103"/>
      <c r="H12" s="103"/>
      <c r="I12" s="103"/>
      <c r="J12" s="103"/>
      <c r="K12" s="103"/>
      <c r="L12" s="103"/>
      <c r="M12" s="103"/>
      <c r="N12" s="103"/>
      <c r="O12" s="103"/>
      <c r="P12" s="103"/>
      <c r="Q12" s="104"/>
    </row>
    <row r="13" spans="3:26" x14ac:dyDescent="0.35">
      <c r="C13" s="101"/>
      <c r="D13" s="103"/>
      <c r="E13" s="103"/>
      <c r="F13" s="103"/>
      <c r="G13" s="103"/>
      <c r="H13" s="103"/>
      <c r="I13" s="103"/>
      <c r="J13" s="103"/>
      <c r="K13" s="103"/>
      <c r="L13" s="103"/>
      <c r="M13" s="103"/>
      <c r="N13" s="103"/>
      <c r="O13" s="103"/>
      <c r="P13" s="103"/>
      <c r="Q13" s="104"/>
    </row>
    <row r="14" spans="3:26" x14ac:dyDescent="0.35">
      <c r="C14" s="101"/>
      <c r="D14" s="103"/>
      <c r="E14" s="103"/>
      <c r="F14" s="103"/>
      <c r="G14" s="103"/>
      <c r="H14" s="103"/>
      <c r="I14" s="103"/>
      <c r="J14" s="103"/>
      <c r="K14" s="103"/>
      <c r="L14" s="103"/>
      <c r="M14" s="103"/>
      <c r="N14" s="103"/>
      <c r="O14" s="103"/>
      <c r="P14" s="103"/>
      <c r="Q14" s="104"/>
    </row>
    <row r="15" spans="3:26" x14ac:dyDescent="0.35">
      <c r="C15" s="101"/>
      <c r="D15" s="103"/>
      <c r="E15" s="103"/>
      <c r="F15" s="103"/>
      <c r="G15" s="103"/>
      <c r="H15" s="103"/>
      <c r="I15" s="103"/>
      <c r="J15" s="103"/>
      <c r="K15" s="103"/>
      <c r="L15" s="103"/>
      <c r="M15" s="103"/>
      <c r="N15" s="103"/>
      <c r="O15" s="103"/>
      <c r="P15" s="103"/>
      <c r="Q15" s="104"/>
    </row>
    <row r="16" spans="3:26" x14ac:dyDescent="0.35">
      <c r="C16" s="101"/>
      <c r="D16" s="103"/>
      <c r="E16" s="103"/>
      <c r="F16" s="103"/>
      <c r="G16" s="103"/>
      <c r="H16" s="103"/>
      <c r="I16" s="103"/>
      <c r="J16" s="103"/>
      <c r="K16" s="103"/>
      <c r="L16" s="103"/>
      <c r="M16" s="103"/>
      <c r="N16" s="103"/>
      <c r="O16" s="103"/>
      <c r="P16" s="103"/>
      <c r="Q16" s="104"/>
    </row>
    <row r="17" spans="3:17" x14ac:dyDescent="0.35">
      <c r="C17" s="101"/>
      <c r="D17" s="103"/>
      <c r="E17" s="103"/>
      <c r="F17" s="103"/>
      <c r="G17" s="103"/>
      <c r="H17" s="103"/>
      <c r="I17" s="103"/>
      <c r="J17" s="103"/>
      <c r="K17" s="103"/>
      <c r="L17" s="103"/>
      <c r="M17" s="103"/>
      <c r="N17" s="103"/>
      <c r="O17" s="103"/>
      <c r="P17" s="103"/>
      <c r="Q17" s="104"/>
    </row>
    <row r="18" spans="3:17" x14ac:dyDescent="0.35">
      <c r="C18" s="101"/>
      <c r="D18" s="103"/>
      <c r="E18" s="103"/>
      <c r="F18" s="103"/>
      <c r="G18" s="103"/>
      <c r="H18" s="103"/>
      <c r="I18" s="103"/>
      <c r="J18" s="103"/>
      <c r="K18" s="103"/>
      <c r="L18" s="103"/>
      <c r="M18" s="103"/>
      <c r="N18" s="103"/>
      <c r="O18" s="103"/>
      <c r="P18" s="103"/>
      <c r="Q18" s="104"/>
    </row>
    <row r="19" spans="3:17" x14ac:dyDescent="0.35">
      <c r="C19" s="101"/>
      <c r="D19" s="103"/>
      <c r="E19" s="103"/>
      <c r="F19" s="103"/>
      <c r="G19" s="103"/>
      <c r="H19" s="103"/>
      <c r="I19" s="103"/>
      <c r="J19" s="103"/>
      <c r="K19" s="103"/>
      <c r="L19" s="103"/>
      <c r="M19" s="103"/>
      <c r="N19" s="103"/>
      <c r="O19" s="103"/>
      <c r="P19" s="103"/>
      <c r="Q19" s="104"/>
    </row>
    <row r="20" spans="3:17" x14ac:dyDescent="0.35">
      <c r="C20" s="101"/>
      <c r="D20" s="103"/>
      <c r="E20" s="103"/>
      <c r="F20" s="103"/>
      <c r="G20" s="103"/>
      <c r="H20" s="103"/>
      <c r="I20" s="103"/>
      <c r="J20" s="103"/>
      <c r="K20" s="103"/>
      <c r="L20" s="103"/>
      <c r="M20" s="103"/>
      <c r="N20" s="103"/>
      <c r="O20" s="103"/>
      <c r="P20" s="103"/>
      <c r="Q20" s="104"/>
    </row>
    <row r="21" spans="3:17" x14ac:dyDescent="0.35">
      <c r="C21" s="101"/>
      <c r="D21" s="103"/>
      <c r="E21" s="103"/>
      <c r="F21" s="103"/>
      <c r="G21" s="103"/>
      <c r="H21" s="103"/>
      <c r="I21" s="103"/>
      <c r="J21" s="103"/>
      <c r="K21" s="103"/>
      <c r="L21" s="103"/>
      <c r="M21" s="103"/>
      <c r="N21" s="103"/>
      <c r="O21" s="103"/>
      <c r="P21" s="103"/>
      <c r="Q21" s="104"/>
    </row>
    <row r="22" spans="3:17" x14ac:dyDescent="0.35">
      <c r="C22" s="101"/>
      <c r="D22" s="103"/>
      <c r="E22" s="103"/>
      <c r="F22" s="103"/>
      <c r="G22" s="103"/>
      <c r="H22" s="103"/>
      <c r="I22" s="103"/>
      <c r="J22" s="103"/>
      <c r="K22" s="103"/>
      <c r="L22" s="103"/>
      <c r="M22" s="103"/>
      <c r="N22" s="103"/>
      <c r="O22" s="103"/>
      <c r="P22" s="103"/>
      <c r="Q22" s="104"/>
    </row>
    <row r="23" spans="3:17" x14ac:dyDescent="0.35">
      <c r="C23" s="101"/>
      <c r="D23" s="103"/>
      <c r="E23" s="103"/>
      <c r="F23" s="103"/>
      <c r="G23" s="103"/>
      <c r="H23" s="103"/>
      <c r="I23" s="103"/>
      <c r="J23" s="103"/>
      <c r="K23" s="103"/>
      <c r="L23" s="103"/>
      <c r="M23" s="103"/>
      <c r="N23" s="103"/>
      <c r="O23" s="103"/>
      <c r="P23" s="103"/>
      <c r="Q23" s="104"/>
    </row>
    <row r="24" spans="3:17" x14ac:dyDescent="0.35">
      <c r="C24" s="101"/>
      <c r="D24" s="103"/>
      <c r="E24" s="103"/>
      <c r="F24" s="103"/>
      <c r="G24" s="103"/>
      <c r="H24" s="103"/>
      <c r="I24" s="103"/>
      <c r="J24" s="103"/>
      <c r="K24" s="103"/>
      <c r="L24" s="103"/>
      <c r="M24" s="103"/>
      <c r="N24" s="103"/>
      <c r="O24" s="103"/>
      <c r="P24" s="103"/>
      <c r="Q24" s="104"/>
    </row>
    <row r="25" spans="3:17" x14ac:dyDescent="0.35">
      <c r="C25" s="101"/>
      <c r="D25" s="103"/>
      <c r="E25" s="103"/>
      <c r="F25" s="103"/>
      <c r="G25" s="103"/>
      <c r="H25" s="103"/>
      <c r="I25" s="103"/>
      <c r="J25" s="103"/>
      <c r="K25" s="103"/>
      <c r="L25" s="103"/>
      <c r="M25" s="103"/>
      <c r="N25" s="103"/>
      <c r="O25" s="103"/>
      <c r="P25" s="103"/>
      <c r="Q25" s="104"/>
    </row>
    <row r="26" spans="3:17" x14ac:dyDescent="0.35">
      <c r="C26" s="101"/>
      <c r="D26" s="103"/>
      <c r="E26" s="103"/>
      <c r="F26" s="103"/>
      <c r="G26" s="103"/>
      <c r="H26" s="103"/>
      <c r="I26" s="103"/>
      <c r="J26" s="103"/>
      <c r="K26" s="103"/>
      <c r="L26" s="103"/>
      <c r="M26" s="103"/>
      <c r="N26" s="103"/>
      <c r="O26" s="103"/>
      <c r="P26" s="103"/>
      <c r="Q26" s="104"/>
    </row>
    <row r="27" spans="3:17" x14ac:dyDescent="0.35">
      <c r="C27" s="101"/>
      <c r="D27" s="103"/>
      <c r="E27" s="103"/>
      <c r="F27" s="103"/>
      <c r="G27" s="103"/>
      <c r="H27" s="103"/>
      <c r="I27" s="103"/>
      <c r="J27" s="103"/>
      <c r="K27" s="103"/>
      <c r="L27" s="103"/>
      <c r="M27" s="103"/>
      <c r="N27" s="103"/>
      <c r="O27" s="103"/>
      <c r="P27" s="103"/>
      <c r="Q27" s="104"/>
    </row>
    <row r="28" spans="3:17" x14ac:dyDescent="0.35">
      <c r="C28" s="101"/>
      <c r="D28" s="103"/>
      <c r="E28" s="103"/>
      <c r="F28" s="103"/>
      <c r="G28" s="103"/>
      <c r="H28" s="103"/>
      <c r="I28" s="103"/>
      <c r="J28" s="103"/>
      <c r="K28" s="103"/>
      <c r="L28" s="103"/>
      <c r="M28" s="103"/>
      <c r="N28" s="103"/>
      <c r="O28" s="103"/>
      <c r="P28" s="103"/>
      <c r="Q28" s="104"/>
    </row>
    <row r="29" spans="3:17" ht="15" thickBot="1" x14ac:dyDescent="0.4">
      <c r="C29" s="105"/>
      <c r="D29" s="106"/>
      <c r="E29" s="106"/>
      <c r="F29" s="106"/>
      <c r="G29" s="106"/>
      <c r="H29" s="106"/>
      <c r="I29" s="106"/>
      <c r="J29" s="106"/>
      <c r="K29" s="106"/>
      <c r="L29" s="106"/>
      <c r="M29" s="106"/>
      <c r="N29" s="106"/>
      <c r="O29" s="106"/>
      <c r="P29" s="106"/>
      <c r="Q29" s="107"/>
    </row>
    <row r="30" spans="3:17" ht="15" thickTop="1" x14ac:dyDescent="0.35"/>
    <row r="49" spans="22:22" x14ac:dyDescent="0.35">
      <c r="V49" s="52">
        <f>COUNTA([1]Sheet7!A:A)-2</f>
        <v>1048574</v>
      </c>
    </row>
    <row r="205" spans="1:3" hidden="1" x14ac:dyDescent="0.35">
      <c r="A205" s="52" t="s">
        <v>571</v>
      </c>
      <c r="B205" s="52" t="s">
        <v>567</v>
      </c>
    </row>
    <row r="206" spans="1:3" hidden="1" x14ac:dyDescent="0.35"/>
    <row r="207" spans="1:3" hidden="1" x14ac:dyDescent="0.35">
      <c r="A207" s="52" t="s">
        <v>156</v>
      </c>
      <c r="B207" s="109" t="s">
        <v>928</v>
      </c>
      <c r="C207" s="108" t="s">
        <v>152</v>
      </c>
    </row>
    <row r="208" spans="1:3" hidden="1" x14ac:dyDescent="0.35">
      <c r="A208" s="96" t="s">
        <v>682</v>
      </c>
      <c r="B208" s="109">
        <v>0</v>
      </c>
      <c r="C208" s="108">
        <v>6.3200000000000006E-2</v>
      </c>
    </row>
    <row r="209" spans="1:3" hidden="1" x14ac:dyDescent="0.35">
      <c r="A209" s="97" t="s">
        <v>683</v>
      </c>
      <c r="B209" s="109">
        <v>0</v>
      </c>
      <c r="C209" s="108">
        <v>6.3200000000000006E-2</v>
      </c>
    </row>
    <row r="210" spans="1:3" hidden="1" x14ac:dyDescent="0.35">
      <c r="A210" s="96" t="s">
        <v>579</v>
      </c>
      <c r="B210" s="109">
        <v>3.3333333333333335E-5</v>
      </c>
      <c r="C210" s="108">
        <v>0.99850000000000005</v>
      </c>
    </row>
    <row r="211" spans="1:3" hidden="1" x14ac:dyDescent="0.35">
      <c r="A211" s="97" t="s">
        <v>580</v>
      </c>
      <c r="B211" s="109">
        <v>3.3333333333333335E-5</v>
      </c>
      <c r="C211" s="108">
        <v>0.99850000000000005</v>
      </c>
    </row>
    <row r="212" spans="1:3" hidden="1" x14ac:dyDescent="0.35">
      <c r="A212" s="96" t="s">
        <v>16</v>
      </c>
      <c r="B212" s="109">
        <v>3.3333333333333335E-5</v>
      </c>
      <c r="C212" s="108">
        <v>0.99960000000000004</v>
      </c>
    </row>
    <row r="213" spans="1:3" hidden="1" x14ac:dyDescent="0.35">
      <c r="A213" s="97" t="s">
        <v>16</v>
      </c>
      <c r="B213" s="109">
        <v>3.3333333333333335E-5</v>
      </c>
      <c r="C213" s="108">
        <v>0.99960000000000004</v>
      </c>
    </row>
    <row r="214" spans="1:3" hidden="1" x14ac:dyDescent="0.35">
      <c r="A214" s="96" t="s">
        <v>226</v>
      </c>
      <c r="B214" s="109">
        <v>3.3333333333333335E-5</v>
      </c>
      <c r="C214" s="108">
        <v>0.99990000000000001</v>
      </c>
    </row>
    <row r="215" spans="1:3" hidden="1" x14ac:dyDescent="0.35">
      <c r="A215" s="97" t="s">
        <v>227</v>
      </c>
      <c r="B215" s="109">
        <v>3.3333333333333335E-5</v>
      </c>
      <c r="C215" s="108">
        <v>0.99990000000000001</v>
      </c>
    </row>
    <row r="216" spans="1:3" hidden="1" x14ac:dyDescent="0.35">
      <c r="A216" s="96" t="s">
        <v>581</v>
      </c>
      <c r="B216" s="109">
        <v>1E-4</v>
      </c>
      <c r="C216" s="108">
        <v>0.99939999999999996</v>
      </c>
    </row>
    <row r="217" spans="1:3" hidden="1" x14ac:dyDescent="0.35">
      <c r="A217" s="97" t="s">
        <v>582</v>
      </c>
      <c r="B217" s="109">
        <v>1E-4</v>
      </c>
      <c r="C217" s="108">
        <v>0.99939999999999996</v>
      </c>
    </row>
    <row r="218" spans="1:3" hidden="1" x14ac:dyDescent="0.35">
      <c r="A218" s="96" t="s">
        <v>67</v>
      </c>
      <c r="B218" s="109">
        <v>1E-4</v>
      </c>
      <c r="C218" s="108">
        <v>0.99919999999999998</v>
      </c>
    </row>
    <row r="219" spans="1:3" hidden="1" x14ac:dyDescent="0.35">
      <c r="A219" s="97" t="s">
        <v>67</v>
      </c>
      <c r="B219" s="109">
        <v>1E-4</v>
      </c>
      <c r="C219" s="108">
        <v>0.99919999999999998</v>
      </c>
    </row>
    <row r="220" spans="1:3" hidden="1" x14ac:dyDescent="0.35">
      <c r="A220" s="96" t="s">
        <v>72</v>
      </c>
      <c r="B220" s="109">
        <v>1E-4</v>
      </c>
      <c r="C220" s="108">
        <v>1</v>
      </c>
    </row>
    <row r="221" spans="1:3" hidden="1" x14ac:dyDescent="0.35">
      <c r="A221" s="97" t="s">
        <v>72</v>
      </c>
      <c r="B221" s="109">
        <v>1E-4</v>
      </c>
      <c r="C221" s="108">
        <v>1</v>
      </c>
    </row>
    <row r="222" spans="1:3" hidden="1" x14ac:dyDescent="0.35">
      <c r="A222" s="96" t="s">
        <v>768</v>
      </c>
      <c r="B222" s="109">
        <v>3.3333333333333332E-4</v>
      </c>
      <c r="C222" s="108">
        <v>2.0400000000000001E-2</v>
      </c>
    </row>
    <row r="223" spans="1:3" hidden="1" x14ac:dyDescent="0.35">
      <c r="A223" s="97" t="s">
        <v>769</v>
      </c>
      <c r="B223" s="109">
        <v>3.3333333333333332E-4</v>
      </c>
      <c r="C223" s="108">
        <v>2.0400000000000001E-2</v>
      </c>
    </row>
    <row r="224" spans="1:3" hidden="1" x14ac:dyDescent="0.35">
      <c r="A224" s="96" t="s">
        <v>12</v>
      </c>
      <c r="B224" s="109">
        <v>3.6666666666666662E-4</v>
      </c>
      <c r="C224" s="108">
        <v>0.99939999999999996</v>
      </c>
    </row>
    <row r="225" spans="1:3" hidden="1" x14ac:dyDescent="0.35">
      <c r="A225" s="97" t="s">
        <v>13</v>
      </c>
      <c r="B225" s="109">
        <v>3.6666666666666662E-4</v>
      </c>
      <c r="C225" s="108">
        <v>0.99939999999999996</v>
      </c>
    </row>
    <row r="226" spans="1:3" hidden="1" x14ac:dyDescent="0.35">
      <c r="A226" s="96" t="s">
        <v>59</v>
      </c>
      <c r="B226" s="109">
        <v>5.9999999999999995E-4</v>
      </c>
      <c r="C226" s="108">
        <v>0.996</v>
      </c>
    </row>
    <row r="227" spans="1:3" hidden="1" x14ac:dyDescent="0.35">
      <c r="A227" s="97" t="s">
        <v>60</v>
      </c>
      <c r="B227" s="109">
        <v>5.9999999999999995E-4</v>
      </c>
      <c r="C227" s="108">
        <v>0.996</v>
      </c>
    </row>
    <row r="228" spans="1:3" hidden="1" x14ac:dyDescent="0.35">
      <c r="A228" s="96" t="s">
        <v>146</v>
      </c>
      <c r="B228" s="109">
        <v>1.7000000000000001E-4</v>
      </c>
      <c r="C228" s="108">
        <v>8.0755999999999997</v>
      </c>
    </row>
    <row r="229" spans="1:3" hidden="1" x14ac:dyDescent="0.35"/>
    <row r="230" spans="1:3" hidden="1" x14ac:dyDescent="0.35"/>
    <row r="231" spans="1:3" hidden="1" x14ac:dyDescent="0.35"/>
    <row r="232" spans="1:3" hidden="1" x14ac:dyDescent="0.35"/>
    <row r="233" spans="1:3" hidden="1" x14ac:dyDescent="0.35"/>
    <row r="234" spans="1:3" hidden="1" x14ac:dyDescent="0.35"/>
    <row r="235" spans="1:3" hidden="1" x14ac:dyDescent="0.35"/>
    <row r="236" spans="1:3" hidden="1" x14ac:dyDescent="0.35"/>
    <row r="237" spans="1:3" hidden="1" x14ac:dyDescent="0.35"/>
    <row r="238" spans="1:3" hidden="1" x14ac:dyDescent="0.35"/>
    <row r="239" spans="1:3" hidden="1" x14ac:dyDescent="0.35"/>
    <row r="240" spans="1:3" hidden="1" x14ac:dyDescent="0.35"/>
    <row r="241" spans="1:2" hidden="1" x14ac:dyDescent="0.35"/>
    <row r="242" spans="1:2" hidden="1" x14ac:dyDescent="0.35"/>
    <row r="243" spans="1:2" hidden="1" x14ac:dyDescent="0.35"/>
    <row r="244" spans="1:2" hidden="1" x14ac:dyDescent="0.35">
      <c r="A244" s="52" t="s">
        <v>571</v>
      </c>
      <c r="B244" s="52" t="s">
        <v>567</v>
      </c>
    </row>
    <row r="245" spans="1:2" hidden="1" x14ac:dyDescent="0.35"/>
    <row r="246" spans="1:2" hidden="1" x14ac:dyDescent="0.35">
      <c r="A246" s="52" t="s">
        <v>156</v>
      </c>
      <c r="B246" s="52" t="s">
        <v>928</v>
      </c>
    </row>
    <row r="247" spans="1:2" hidden="1" x14ac:dyDescent="0.35">
      <c r="A247" s="96" t="s">
        <v>682</v>
      </c>
      <c r="B247" s="52">
        <v>0</v>
      </c>
    </row>
    <row r="248" spans="1:2" hidden="1" x14ac:dyDescent="0.35">
      <c r="A248" s="96" t="s">
        <v>226</v>
      </c>
      <c r="B248" s="52">
        <v>3.3333333333333335E-5</v>
      </c>
    </row>
    <row r="249" spans="1:2" hidden="1" x14ac:dyDescent="0.35">
      <c r="A249" s="96" t="s">
        <v>16</v>
      </c>
      <c r="B249" s="52">
        <v>3.3333333333333335E-5</v>
      </c>
    </row>
    <row r="250" spans="1:2" hidden="1" x14ac:dyDescent="0.35">
      <c r="A250" s="96" t="s">
        <v>579</v>
      </c>
      <c r="B250" s="52">
        <v>3.3333333333333335E-5</v>
      </c>
    </row>
    <row r="251" spans="1:2" hidden="1" x14ac:dyDescent="0.35">
      <c r="A251" s="96" t="s">
        <v>67</v>
      </c>
      <c r="B251" s="52">
        <v>1E-4</v>
      </c>
    </row>
    <row r="252" spans="1:2" hidden="1" x14ac:dyDescent="0.35">
      <c r="A252" s="96" t="s">
        <v>581</v>
      </c>
      <c r="B252" s="52">
        <v>1E-4</v>
      </c>
    </row>
    <row r="253" spans="1:2" hidden="1" x14ac:dyDescent="0.35">
      <c r="A253" s="96" t="s">
        <v>72</v>
      </c>
      <c r="B253" s="52">
        <v>1E-4</v>
      </c>
    </row>
    <row r="254" spans="1:2" hidden="1" x14ac:dyDescent="0.35">
      <c r="A254" s="96" t="s">
        <v>768</v>
      </c>
      <c r="B254" s="52">
        <v>3.3333333333333332E-4</v>
      </c>
    </row>
    <row r="255" spans="1:2" hidden="1" x14ac:dyDescent="0.35">
      <c r="A255" s="96" t="s">
        <v>12</v>
      </c>
      <c r="B255" s="52">
        <v>3.6666666666666662E-4</v>
      </c>
    </row>
    <row r="256" spans="1:2" hidden="1" x14ac:dyDescent="0.35">
      <c r="A256" s="96" t="s">
        <v>59</v>
      </c>
      <c r="B256" s="52">
        <v>5.9999999999999995E-4</v>
      </c>
    </row>
    <row r="257" spans="1:2" hidden="1" x14ac:dyDescent="0.35">
      <c r="A257" s="96" t="s">
        <v>56</v>
      </c>
      <c r="B257" s="52">
        <v>6.333333333333334E-4</v>
      </c>
    </row>
    <row r="258" spans="1:2" hidden="1" x14ac:dyDescent="0.35">
      <c r="A258" s="96" t="s">
        <v>70</v>
      </c>
      <c r="B258" s="52">
        <v>8.0000000000000004E-4</v>
      </c>
    </row>
    <row r="259" spans="1:2" hidden="1" x14ac:dyDescent="0.35">
      <c r="A259" s="96" t="s">
        <v>828</v>
      </c>
      <c r="B259" s="52">
        <v>8.6666666666666663E-4</v>
      </c>
    </row>
    <row r="260" spans="1:2" hidden="1" x14ac:dyDescent="0.35">
      <c r="A260" s="96" t="s">
        <v>639</v>
      </c>
      <c r="B260" s="52">
        <v>1.5000000000000002E-3</v>
      </c>
    </row>
    <row r="261" spans="1:2" hidden="1" x14ac:dyDescent="0.35">
      <c r="A261" s="96" t="s">
        <v>913</v>
      </c>
      <c r="B261" s="52">
        <v>1.6666666666666668E-3</v>
      </c>
    </row>
    <row r="262" spans="1:2" hidden="1" x14ac:dyDescent="0.35">
      <c r="A262" s="96" t="s">
        <v>585</v>
      </c>
      <c r="B262" s="52">
        <v>1.9666666666666665E-3</v>
      </c>
    </row>
    <row r="263" spans="1:2" hidden="1" x14ac:dyDescent="0.35">
      <c r="A263" s="96" t="s">
        <v>766</v>
      </c>
      <c r="B263" s="52">
        <v>2.8E-3</v>
      </c>
    </row>
    <row r="264" spans="1:2" hidden="1" x14ac:dyDescent="0.35">
      <c r="A264" s="96" t="s">
        <v>635</v>
      </c>
      <c r="B264" s="52">
        <v>3.4999999999999996E-3</v>
      </c>
    </row>
    <row r="265" spans="1:2" hidden="1" x14ac:dyDescent="0.35">
      <c r="A265" s="96" t="s">
        <v>447</v>
      </c>
      <c r="B265" s="52">
        <v>3.6666666666666666E-3</v>
      </c>
    </row>
    <row r="266" spans="1:2" hidden="1" x14ac:dyDescent="0.35">
      <c r="A266" s="96" t="s">
        <v>65</v>
      </c>
      <c r="B266" s="52">
        <v>3.8666666666666663E-3</v>
      </c>
    </row>
    <row r="267" spans="1:2" hidden="1" x14ac:dyDescent="0.35">
      <c r="A267" s="96" t="s">
        <v>68</v>
      </c>
      <c r="B267" s="52">
        <v>3.9000000000000003E-3</v>
      </c>
    </row>
    <row r="268" spans="1:2" hidden="1" x14ac:dyDescent="0.35">
      <c r="A268" s="96" t="s">
        <v>884</v>
      </c>
      <c r="B268" s="52">
        <v>4.266666666666666E-3</v>
      </c>
    </row>
    <row r="269" spans="1:2" hidden="1" x14ac:dyDescent="0.35">
      <c r="A269" s="96" t="s">
        <v>247</v>
      </c>
      <c r="B269" s="52">
        <v>4.4000000000000003E-3</v>
      </c>
    </row>
    <row r="270" spans="1:2" hidden="1" x14ac:dyDescent="0.35">
      <c r="A270" s="96" t="s">
        <v>858</v>
      </c>
      <c r="B270" s="52">
        <v>4.6333333333333331E-3</v>
      </c>
    </row>
    <row r="271" spans="1:2" hidden="1" x14ac:dyDescent="0.35">
      <c r="A271" s="96" t="s">
        <v>743</v>
      </c>
      <c r="B271" s="52">
        <v>6.1000000000000004E-3</v>
      </c>
    </row>
    <row r="272" spans="1:2" hidden="1" x14ac:dyDescent="0.35">
      <c r="A272" s="96" t="s">
        <v>875</v>
      </c>
      <c r="B272" s="52">
        <v>6.1000000000000004E-3</v>
      </c>
    </row>
    <row r="273" spans="1:2" hidden="1" x14ac:dyDescent="0.35">
      <c r="A273" s="96" t="s">
        <v>643</v>
      </c>
      <c r="B273" s="52">
        <v>6.2666666666666669E-3</v>
      </c>
    </row>
    <row r="274" spans="1:2" hidden="1" x14ac:dyDescent="0.35">
      <c r="A274" s="96" t="s">
        <v>162</v>
      </c>
      <c r="B274" s="52">
        <v>7.7333333333333325E-3</v>
      </c>
    </row>
    <row r="275" spans="1:2" hidden="1" x14ac:dyDescent="0.35">
      <c r="A275" s="96" t="s">
        <v>891</v>
      </c>
      <c r="B275" s="52">
        <v>8.1333333333333327E-3</v>
      </c>
    </row>
    <row r="276" spans="1:2" hidden="1" x14ac:dyDescent="0.35">
      <c r="A276" s="96" t="s">
        <v>751</v>
      </c>
      <c r="B276" s="52">
        <v>8.2333333333333338E-3</v>
      </c>
    </row>
    <row r="277" spans="1:2" hidden="1" x14ac:dyDescent="0.35">
      <c r="A277" s="96" t="s">
        <v>860</v>
      </c>
      <c r="B277" s="52">
        <v>8.3999999999999995E-3</v>
      </c>
    </row>
    <row r="278" spans="1:2" hidden="1" x14ac:dyDescent="0.35">
      <c r="A278" s="96" t="s">
        <v>370</v>
      </c>
      <c r="B278" s="52">
        <v>9.4333333333333335E-3</v>
      </c>
    </row>
    <row r="279" spans="1:2" hidden="1" x14ac:dyDescent="0.35">
      <c r="A279" s="96" t="s">
        <v>805</v>
      </c>
      <c r="B279" s="52">
        <v>9.9333333333333339E-3</v>
      </c>
    </row>
    <row r="280" spans="1:2" hidden="1" x14ac:dyDescent="0.35">
      <c r="A280" s="96" t="s">
        <v>770</v>
      </c>
      <c r="B280" s="52">
        <v>9.9333333333333339E-3</v>
      </c>
    </row>
    <row r="281" spans="1:2" hidden="1" x14ac:dyDescent="0.35">
      <c r="A281" s="96" t="s">
        <v>532</v>
      </c>
      <c r="B281" s="52">
        <v>1.06E-2</v>
      </c>
    </row>
    <row r="282" spans="1:2" hidden="1" x14ac:dyDescent="0.35">
      <c r="A282" s="96" t="s">
        <v>786</v>
      </c>
      <c r="B282" s="52">
        <v>1.0733333333333333E-2</v>
      </c>
    </row>
    <row r="283" spans="1:2" hidden="1" x14ac:dyDescent="0.35">
      <c r="A283" s="96" t="s">
        <v>745</v>
      </c>
      <c r="B283" s="52">
        <v>1.0766666666666667E-2</v>
      </c>
    </row>
    <row r="284" spans="1:2" hidden="1" x14ac:dyDescent="0.35">
      <c r="A284" s="96" t="s">
        <v>615</v>
      </c>
      <c r="B284" s="52">
        <v>1.1366666666666666E-2</v>
      </c>
    </row>
    <row r="285" spans="1:2" hidden="1" x14ac:dyDescent="0.35">
      <c r="A285" s="96" t="s">
        <v>602</v>
      </c>
      <c r="B285" s="52">
        <v>1.1833333333333335E-2</v>
      </c>
    </row>
    <row r="286" spans="1:2" hidden="1" x14ac:dyDescent="0.35">
      <c r="A286" s="96" t="s">
        <v>437</v>
      </c>
      <c r="B286" s="52">
        <v>1.1899999999999999E-2</v>
      </c>
    </row>
    <row r="287" spans="1:2" hidden="1" x14ac:dyDescent="0.35">
      <c r="A287" s="96" t="s">
        <v>799</v>
      </c>
      <c r="B287" s="52">
        <v>1.21E-2</v>
      </c>
    </row>
    <row r="288" spans="1:2" hidden="1" x14ac:dyDescent="0.35">
      <c r="A288" s="96" t="s">
        <v>694</v>
      </c>
      <c r="B288" s="52">
        <v>1.4266666666666665E-2</v>
      </c>
    </row>
    <row r="289" spans="1:2" hidden="1" x14ac:dyDescent="0.35">
      <c r="A289" s="96" t="s">
        <v>735</v>
      </c>
      <c r="B289" s="52">
        <v>1.4433333333333333E-2</v>
      </c>
    </row>
    <row r="290" spans="1:2" hidden="1" x14ac:dyDescent="0.35">
      <c r="A290" s="96" t="s">
        <v>836</v>
      </c>
      <c r="B290" s="52">
        <v>1.5299999999999999E-2</v>
      </c>
    </row>
    <row r="291" spans="1:2" hidden="1" x14ac:dyDescent="0.35">
      <c r="A291" s="96" t="s">
        <v>172</v>
      </c>
      <c r="B291" s="52">
        <v>1.5533333333333335E-2</v>
      </c>
    </row>
    <row r="292" spans="1:2" hidden="1" x14ac:dyDescent="0.35">
      <c r="A292" s="96" t="s">
        <v>882</v>
      </c>
      <c r="B292" s="52">
        <v>1.5799999999999998E-2</v>
      </c>
    </row>
    <row r="293" spans="1:2" hidden="1" x14ac:dyDescent="0.35">
      <c r="A293" s="96" t="s">
        <v>667</v>
      </c>
      <c r="B293" s="52">
        <v>1.7733333333333334E-2</v>
      </c>
    </row>
    <row r="294" spans="1:2" hidden="1" x14ac:dyDescent="0.35">
      <c r="A294" s="96" t="s">
        <v>774</v>
      </c>
      <c r="B294" s="52">
        <v>1.78E-2</v>
      </c>
    </row>
    <row r="295" spans="1:2" hidden="1" x14ac:dyDescent="0.35">
      <c r="A295" s="96" t="s">
        <v>803</v>
      </c>
      <c r="B295" s="52">
        <v>1.8533333333333336E-2</v>
      </c>
    </row>
    <row r="296" spans="1:2" hidden="1" x14ac:dyDescent="0.35">
      <c r="A296" s="96" t="s">
        <v>27</v>
      </c>
      <c r="B296" s="52">
        <v>1.8733333333333334E-2</v>
      </c>
    </row>
    <row r="297" spans="1:2" hidden="1" x14ac:dyDescent="0.35">
      <c r="A297" s="96" t="s">
        <v>55</v>
      </c>
      <c r="B297" s="52">
        <v>1.8933333333333333E-2</v>
      </c>
    </row>
    <row r="298" spans="1:2" hidden="1" x14ac:dyDescent="0.35">
      <c r="A298" s="96" t="s">
        <v>53</v>
      </c>
      <c r="B298" s="52">
        <v>1.9066666666666666E-2</v>
      </c>
    </row>
    <row r="299" spans="1:2" hidden="1" x14ac:dyDescent="0.35">
      <c r="A299" s="96" t="s">
        <v>621</v>
      </c>
      <c r="B299" s="52">
        <v>1.9833333333333331E-2</v>
      </c>
    </row>
    <row r="300" spans="1:2" hidden="1" x14ac:dyDescent="0.35">
      <c r="A300" s="96" t="s">
        <v>496</v>
      </c>
      <c r="B300" s="52">
        <v>2.1099999999999997E-2</v>
      </c>
    </row>
    <row r="301" spans="1:2" hidden="1" x14ac:dyDescent="0.35">
      <c r="A301" s="96" t="s">
        <v>84</v>
      </c>
      <c r="B301" s="52">
        <v>2.1399999999999999E-2</v>
      </c>
    </row>
    <row r="302" spans="1:2" hidden="1" x14ac:dyDescent="0.35">
      <c r="A302" s="96" t="s">
        <v>455</v>
      </c>
      <c r="B302" s="52">
        <v>2.1866666666666663E-2</v>
      </c>
    </row>
    <row r="303" spans="1:2" hidden="1" x14ac:dyDescent="0.35">
      <c r="A303" s="96" t="s">
        <v>58</v>
      </c>
      <c r="B303" s="52">
        <v>2.2800000000000001E-2</v>
      </c>
    </row>
    <row r="304" spans="1:2" hidden="1" x14ac:dyDescent="0.35">
      <c r="A304" s="96" t="s">
        <v>877</v>
      </c>
      <c r="B304" s="52">
        <v>2.3199999999999998E-2</v>
      </c>
    </row>
    <row r="305" spans="1:2" hidden="1" x14ac:dyDescent="0.35">
      <c r="A305" s="96" t="s">
        <v>553</v>
      </c>
      <c r="B305" s="52">
        <v>2.3799999999999998E-2</v>
      </c>
    </row>
    <row r="306" spans="1:2" hidden="1" x14ac:dyDescent="0.35">
      <c r="A306" s="96" t="s">
        <v>78</v>
      </c>
      <c r="B306" s="52">
        <v>2.3799999999999998E-2</v>
      </c>
    </row>
    <row r="307" spans="1:2" hidden="1" x14ac:dyDescent="0.35">
      <c r="A307" s="96" t="s">
        <v>866</v>
      </c>
      <c r="B307" s="52">
        <v>2.4000000000000004E-2</v>
      </c>
    </row>
    <row r="308" spans="1:2" hidden="1" x14ac:dyDescent="0.35">
      <c r="A308" s="96" t="s">
        <v>19</v>
      </c>
      <c r="B308" s="52">
        <v>2.4233333333333332E-2</v>
      </c>
    </row>
    <row r="309" spans="1:2" hidden="1" x14ac:dyDescent="0.35">
      <c r="A309" s="96" t="s">
        <v>278</v>
      </c>
      <c r="B309" s="52">
        <v>2.4266666666666669E-2</v>
      </c>
    </row>
    <row r="310" spans="1:2" hidden="1" x14ac:dyDescent="0.35">
      <c r="A310" s="96" t="s">
        <v>737</v>
      </c>
      <c r="B310" s="52">
        <v>2.4566666666666667E-2</v>
      </c>
    </row>
    <row r="311" spans="1:2" hidden="1" x14ac:dyDescent="0.35">
      <c r="A311" s="96" t="s">
        <v>784</v>
      </c>
      <c r="B311" s="52">
        <v>2.5633333333333331E-2</v>
      </c>
    </row>
    <row r="312" spans="1:2" hidden="1" x14ac:dyDescent="0.35">
      <c r="A312" s="96" t="s">
        <v>376</v>
      </c>
      <c r="B312" s="52">
        <v>2.5833333333333333E-2</v>
      </c>
    </row>
    <row r="313" spans="1:2" hidden="1" x14ac:dyDescent="0.35">
      <c r="A313" s="96" t="s">
        <v>895</v>
      </c>
      <c r="B313" s="52">
        <v>2.6700000000000002E-2</v>
      </c>
    </row>
    <row r="314" spans="1:2" hidden="1" x14ac:dyDescent="0.35">
      <c r="A314" s="96" t="s">
        <v>879</v>
      </c>
      <c r="B314" s="52">
        <v>2.7333333333333331E-2</v>
      </c>
    </row>
    <row r="315" spans="1:2" hidden="1" x14ac:dyDescent="0.35">
      <c r="A315" s="96" t="s">
        <v>792</v>
      </c>
      <c r="B315" s="52">
        <v>2.7499999999999997E-2</v>
      </c>
    </row>
    <row r="316" spans="1:2" hidden="1" x14ac:dyDescent="0.35">
      <c r="A316" s="96" t="s">
        <v>427</v>
      </c>
      <c r="B316" s="52">
        <v>2.7499999999999997E-2</v>
      </c>
    </row>
    <row r="317" spans="1:2" hidden="1" x14ac:dyDescent="0.35">
      <c r="A317" s="96" t="s">
        <v>425</v>
      </c>
      <c r="B317" s="52">
        <v>2.7666666666666669E-2</v>
      </c>
    </row>
    <row r="318" spans="1:2" hidden="1" x14ac:dyDescent="0.35">
      <c r="A318" s="96" t="s">
        <v>801</v>
      </c>
      <c r="B318" s="52">
        <v>2.8566666666666667E-2</v>
      </c>
    </row>
    <row r="319" spans="1:2" hidden="1" x14ac:dyDescent="0.35">
      <c r="A319" s="96" t="s">
        <v>713</v>
      </c>
      <c r="B319" s="52">
        <v>2.9200000000000004E-2</v>
      </c>
    </row>
    <row r="320" spans="1:2" hidden="1" x14ac:dyDescent="0.35">
      <c r="A320" s="96" t="s">
        <v>41</v>
      </c>
      <c r="B320" s="52">
        <v>2.9800000000000004E-2</v>
      </c>
    </row>
    <row r="321" spans="1:2" hidden="1" x14ac:dyDescent="0.35">
      <c r="A321" s="96" t="s">
        <v>709</v>
      </c>
      <c r="B321" s="52">
        <v>3.0433333333333337E-2</v>
      </c>
    </row>
    <row r="322" spans="1:2" hidden="1" x14ac:dyDescent="0.35">
      <c r="A322" s="96" t="s">
        <v>869</v>
      </c>
      <c r="B322" s="52">
        <v>3.0733333333333335E-2</v>
      </c>
    </row>
    <row r="323" spans="1:2" hidden="1" x14ac:dyDescent="0.35">
      <c r="A323" s="96" t="s">
        <v>61</v>
      </c>
      <c r="B323" s="52">
        <v>3.0799999999999998E-2</v>
      </c>
    </row>
    <row r="324" spans="1:2" hidden="1" x14ac:dyDescent="0.35">
      <c r="A324" s="96" t="s">
        <v>166</v>
      </c>
      <c r="B324" s="52">
        <v>3.09E-2</v>
      </c>
    </row>
    <row r="325" spans="1:2" hidden="1" x14ac:dyDescent="0.35">
      <c r="A325" s="96" t="s">
        <v>790</v>
      </c>
      <c r="B325" s="52">
        <v>3.153333333333333E-2</v>
      </c>
    </row>
    <row r="326" spans="1:2" hidden="1" x14ac:dyDescent="0.35">
      <c r="A326" s="96" t="s">
        <v>196</v>
      </c>
      <c r="B326" s="52">
        <v>3.2000000000000001E-2</v>
      </c>
    </row>
    <row r="327" spans="1:2" hidden="1" x14ac:dyDescent="0.35">
      <c r="A327" s="96" t="s">
        <v>700</v>
      </c>
      <c r="B327" s="52">
        <v>3.266666666666667E-2</v>
      </c>
    </row>
    <row r="328" spans="1:2" hidden="1" x14ac:dyDescent="0.35">
      <c r="A328" s="96" t="s">
        <v>158</v>
      </c>
      <c r="B328" s="52">
        <v>3.323333333333333E-2</v>
      </c>
    </row>
    <row r="329" spans="1:2" hidden="1" x14ac:dyDescent="0.35">
      <c r="A329" s="96" t="s">
        <v>778</v>
      </c>
      <c r="B329" s="52">
        <v>3.3266666666666667E-2</v>
      </c>
    </row>
    <row r="330" spans="1:2" hidden="1" x14ac:dyDescent="0.35">
      <c r="A330" s="96" t="s">
        <v>715</v>
      </c>
      <c r="B330" s="52">
        <v>3.3333333333333333E-2</v>
      </c>
    </row>
    <row r="331" spans="1:2" hidden="1" x14ac:dyDescent="0.35">
      <c r="A331" s="96" t="s">
        <v>623</v>
      </c>
      <c r="B331" s="52">
        <v>3.4566666666666669E-2</v>
      </c>
    </row>
    <row r="332" spans="1:2" hidden="1" x14ac:dyDescent="0.35">
      <c r="A332" s="96" t="s">
        <v>608</v>
      </c>
      <c r="B332" s="52">
        <v>3.4566666666666669E-2</v>
      </c>
    </row>
    <row r="333" spans="1:2" hidden="1" x14ac:dyDescent="0.35">
      <c r="A333" s="96" t="s">
        <v>747</v>
      </c>
      <c r="B333" s="52">
        <v>3.4666666666666672E-2</v>
      </c>
    </row>
    <row r="334" spans="1:2" hidden="1" x14ac:dyDescent="0.35">
      <c r="A334" s="96" t="s">
        <v>809</v>
      </c>
      <c r="B334" s="52">
        <v>3.5200000000000002E-2</v>
      </c>
    </row>
    <row r="335" spans="1:2" hidden="1" x14ac:dyDescent="0.35">
      <c r="A335" s="96" t="s">
        <v>846</v>
      </c>
      <c r="B335" s="52">
        <v>3.5333333333333335E-2</v>
      </c>
    </row>
    <row r="336" spans="1:2" hidden="1" x14ac:dyDescent="0.35">
      <c r="A336" s="96" t="s">
        <v>589</v>
      </c>
      <c r="B336" s="52">
        <v>3.5899999999999994E-2</v>
      </c>
    </row>
    <row r="337" spans="1:2" hidden="1" x14ac:dyDescent="0.35">
      <c r="A337" s="96" t="s">
        <v>600</v>
      </c>
      <c r="B337" s="52">
        <v>3.61E-2</v>
      </c>
    </row>
    <row r="338" spans="1:2" hidden="1" x14ac:dyDescent="0.35">
      <c r="A338" s="96" t="s">
        <v>741</v>
      </c>
      <c r="B338" s="52">
        <v>3.663333333333333E-2</v>
      </c>
    </row>
    <row r="339" spans="1:2" hidden="1" x14ac:dyDescent="0.35">
      <c r="A339" s="96" t="s">
        <v>753</v>
      </c>
      <c r="B339" s="52">
        <v>3.73E-2</v>
      </c>
    </row>
    <row r="340" spans="1:2" hidden="1" x14ac:dyDescent="0.35">
      <c r="A340" s="96" t="s">
        <v>35</v>
      </c>
      <c r="B340" s="52">
        <v>3.8033333333333336E-2</v>
      </c>
    </row>
    <row r="341" spans="1:2" hidden="1" x14ac:dyDescent="0.35">
      <c r="A341" s="96" t="s">
        <v>637</v>
      </c>
      <c r="B341" s="52">
        <v>3.8066666666666665E-2</v>
      </c>
    </row>
    <row r="342" spans="1:2" hidden="1" x14ac:dyDescent="0.35">
      <c r="A342" s="96" t="s">
        <v>684</v>
      </c>
      <c r="B342" s="52">
        <v>3.8133333333333332E-2</v>
      </c>
    </row>
    <row r="343" spans="1:2" hidden="1" x14ac:dyDescent="0.35">
      <c r="A343" s="96" t="s">
        <v>596</v>
      </c>
      <c r="B343" s="52">
        <v>3.8399999999999997E-2</v>
      </c>
    </row>
    <row r="344" spans="1:2" hidden="1" x14ac:dyDescent="0.35">
      <c r="A344" s="96" t="s">
        <v>692</v>
      </c>
      <c r="B344" s="52">
        <v>3.8433333333333333E-2</v>
      </c>
    </row>
    <row r="345" spans="1:2" hidden="1" x14ac:dyDescent="0.35">
      <c r="A345" s="96" t="s">
        <v>672</v>
      </c>
      <c r="B345" s="52">
        <v>3.9100000000000003E-2</v>
      </c>
    </row>
    <row r="346" spans="1:2" hidden="1" x14ac:dyDescent="0.35">
      <c r="A346" s="96" t="s">
        <v>838</v>
      </c>
      <c r="B346" s="52">
        <v>4.0333333333333332E-2</v>
      </c>
    </row>
    <row r="347" spans="1:2" hidden="1" x14ac:dyDescent="0.35">
      <c r="A347" s="96" t="s">
        <v>304</v>
      </c>
      <c r="B347" s="52">
        <v>4.0433333333333328E-2</v>
      </c>
    </row>
    <row r="348" spans="1:2" hidden="1" x14ac:dyDescent="0.35">
      <c r="A348" s="96" t="s">
        <v>76</v>
      </c>
      <c r="B348" s="52">
        <v>4.0800000000000003E-2</v>
      </c>
    </row>
    <row r="349" spans="1:2" hidden="1" x14ac:dyDescent="0.35">
      <c r="A349" s="96" t="s">
        <v>113</v>
      </c>
      <c r="B349" s="52">
        <v>4.0933333333333335E-2</v>
      </c>
    </row>
    <row r="350" spans="1:2" hidden="1" x14ac:dyDescent="0.35">
      <c r="A350" s="96" t="s">
        <v>587</v>
      </c>
      <c r="B350" s="52">
        <v>4.2466666666666673E-2</v>
      </c>
    </row>
    <row r="351" spans="1:2" hidden="1" x14ac:dyDescent="0.35">
      <c r="A351" s="96" t="s">
        <v>830</v>
      </c>
      <c r="B351" s="52">
        <v>4.2666666666666665E-2</v>
      </c>
    </row>
    <row r="352" spans="1:2" hidden="1" x14ac:dyDescent="0.35">
      <c r="A352" s="96" t="s">
        <v>93</v>
      </c>
      <c r="B352" s="52">
        <v>4.2866666666666664E-2</v>
      </c>
    </row>
    <row r="353" spans="1:2" hidden="1" x14ac:dyDescent="0.35">
      <c r="A353" s="96" t="s">
        <v>656</v>
      </c>
      <c r="B353" s="52">
        <v>4.2866666666666664E-2</v>
      </c>
    </row>
    <row r="354" spans="1:2" hidden="1" x14ac:dyDescent="0.35">
      <c r="A354" s="96" t="s">
        <v>819</v>
      </c>
      <c r="B354" s="52">
        <v>4.3000000000000003E-2</v>
      </c>
    </row>
    <row r="355" spans="1:2" hidden="1" x14ac:dyDescent="0.35">
      <c r="A355" s="96" t="s">
        <v>63</v>
      </c>
      <c r="B355" s="52">
        <v>4.36E-2</v>
      </c>
    </row>
    <row r="356" spans="1:2" hidden="1" x14ac:dyDescent="0.35">
      <c r="A356" s="96" t="s">
        <v>722</v>
      </c>
      <c r="B356" s="52">
        <v>4.363333333333333E-2</v>
      </c>
    </row>
    <row r="357" spans="1:2" hidden="1" x14ac:dyDescent="0.35">
      <c r="A357" s="96" t="s">
        <v>198</v>
      </c>
      <c r="B357" s="52">
        <v>4.5033333333333335E-2</v>
      </c>
    </row>
    <row r="358" spans="1:2" hidden="1" x14ac:dyDescent="0.35">
      <c r="A358" s="96" t="s">
        <v>730</v>
      </c>
      <c r="B358" s="52">
        <v>4.5033333333333335E-2</v>
      </c>
    </row>
    <row r="359" spans="1:2" hidden="1" x14ac:dyDescent="0.35">
      <c r="A359" s="96" t="s">
        <v>826</v>
      </c>
      <c r="B359" s="52">
        <v>4.5633333333333331E-2</v>
      </c>
    </row>
    <row r="360" spans="1:2" hidden="1" x14ac:dyDescent="0.35">
      <c r="A360" s="96" t="s">
        <v>678</v>
      </c>
      <c r="B360" s="52">
        <v>4.6233333333333328E-2</v>
      </c>
    </row>
    <row r="361" spans="1:2" hidden="1" x14ac:dyDescent="0.35">
      <c r="A361" s="96" t="s">
        <v>268</v>
      </c>
      <c r="B361" s="52">
        <v>4.6466666666666663E-2</v>
      </c>
    </row>
    <row r="362" spans="1:2" hidden="1" x14ac:dyDescent="0.35">
      <c r="A362" s="96" t="s">
        <v>45</v>
      </c>
      <c r="B362" s="52">
        <v>4.6699999999999998E-2</v>
      </c>
    </row>
    <row r="363" spans="1:2" hidden="1" x14ac:dyDescent="0.35">
      <c r="A363" s="96" t="s">
        <v>466</v>
      </c>
      <c r="B363" s="52">
        <v>4.6699999999999998E-2</v>
      </c>
    </row>
    <row r="364" spans="1:2" hidden="1" x14ac:dyDescent="0.35">
      <c r="A364" s="96" t="s">
        <v>764</v>
      </c>
      <c r="B364" s="52">
        <v>4.6833333333333338E-2</v>
      </c>
    </row>
    <row r="365" spans="1:2" hidden="1" x14ac:dyDescent="0.35">
      <c r="A365" s="96" t="s">
        <v>686</v>
      </c>
      <c r="B365" s="52">
        <v>4.7033333333333337E-2</v>
      </c>
    </row>
    <row r="366" spans="1:2" hidden="1" x14ac:dyDescent="0.35">
      <c r="A366" s="96" t="s">
        <v>392</v>
      </c>
      <c r="B366" s="52">
        <v>4.7433333333333334E-2</v>
      </c>
    </row>
    <row r="367" spans="1:2" hidden="1" x14ac:dyDescent="0.35">
      <c r="A367" s="96" t="s">
        <v>43</v>
      </c>
      <c r="B367" s="52">
        <v>4.7566666666666667E-2</v>
      </c>
    </row>
    <row r="368" spans="1:2" hidden="1" x14ac:dyDescent="0.35">
      <c r="A368" s="96" t="s">
        <v>848</v>
      </c>
      <c r="B368" s="52">
        <v>4.7733333333333329E-2</v>
      </c>
    </row>
    <row r="369" spans="1:2" hidden="1" x14ac:dyDescent="0.35">
      <c r="A369" s="96" t="s">
        <v>897</v>
      </c>
      <c r="B369" s="52">
        <v>4.7833333333333332E-2</v>
      </c>
    </row>
    <row r="370" spans="1:2" hidden="1" x14ac:dyDescent="0.35">
      <c r="A370" s="96" t="s">
        <v>15</v>
      </c>
      <c r="B370" s="52">
        <v>4.7933333333333335E-2</v>
      </c>
    </row>
    <row r="371" spans="1:2" hidden="1" x14ac:dyDescent="0.35">
      <c r="A371" s="96" t="s">
        <v>80</v>
      </c>
      <c r="B371" s="52">
        <v>4.8399999999999999E-2</v>
      </c>
    </row>
    <row r="372" spans="1:2" hidden="1" x14ac:dyDescent="0.35">
      <c r="A372" s="96" t="s">
        <v>811</v>
      </c>
      <c r="B372" s="52">
        <v>4.876666666666666E-2</v>
      </c>
    </row>
    <row r="373" spans="1:2" hidden="1" x14ac:dyDescent="0.35">
      <c r="A373" s="96" t="s">
        <v>797</v>
      </c>
      <c r="B373" s="52">
        <v>4.8933333333333329E-2</v>
      </c>
    </row>
    <row r="374" spans="1:2" hidden="1" x14ac:dyDescent="0.35">
      <c r="A374" s="96" t="s">
        <v>862</v>
      </c>
      <c r="B374" s="52">
        <v>4.8999999999999995E-2</v>
      </c>
    </row>
    <row r="375" spans="1:2" hidden="1" x14ac:dyDescent="0.35">
      <c r="A375" s="96" t="s">
        <v>899</v>
      </c>
      <c r="B375" s="52">
        <v>4.9100000000000005E-2</v>
      </c>
    </row>
    <row r="376" spans="1:2" hidden="1" x14ac:dyDescent="0.35">
      <c r="A376" s="96" t="s">
        <v>82</v>
      </c>
      <c r="B376" s="52">
        <v>4.9499999999999995E-2</v>
      </c>
    </row>
    <row r="377" spans="1:2" hidden="1" x14ac:dyDescent="0.35">
      <c r="A377" s="96" t="s">
        <v>8</v>
      </c>
      <c r="B377" s="52">
        <v>4.9733333333333331E-2</v>
      </c>
    </row>
    <row r="378" spans="1:2" hidden="1" x14ac:dyDescent="0.35">
      <c r="A378" s="96" t="s">
        <v>815</v>
      </c>
      <c r="B378" s="52">
        <v>4.976666666666666E-2</v>
      </c>
    </row>
    <row r="379" spans="1:2" hidden="1" x14ac:dyDescent="0.35">
      <c r="A379" s="96" t="s">
        <v>868</v>
      </c>
      <c r="B379" s="52">
        <v>5.0866666666666671E-2</v>
      </c>
    </row>
    <row r="380" spans="1:2" hidden="1" x14ac:dyDescent="0.35">
      <c r="A380" s="96" t="s">
        <v>6</v>
      </c>
      <c r="B380" s="52">
        <v>5.1033333333333326E-2</v>
      </c>
    </row>
    <row r="381" spans="1:2" hidden="1" x14ac:dyDescent="0.35">
      <c r="A381" s="96" t="s">
        <v>873</v>
      </c>
      <c r="B381" s="52">
        <v>5.11E-2</v>
      </c>
    </row>
    <row r="382" spans="1:2" hidden="1" x14ac:dyDescent="0.35">
      <c r="A382" s="96" t="s">
        <v>115</v>
      </c>
      <c r="B382" s="52">
        <v>5.1466666666666668E-2</v>
      </c>
    </row>
    <row r="383" spans="1:2" hidden="1" x14ac:dyDescent="0.35">
      <c r="A383" s="96" t="s">
        <v>762</v>
      </c>
      <c r="B383" s="52">
        <v>5.1900000000000002E-2</v>
      </c>
    </row>
    <row r="384" spans="1:2" hidden="1" x14ac:dyDescent="0.35">
      <c r="A384" s="96" t="s">
        <v>842</v>
      </c>
      <c r="B384" s="52">
        <v>5.2233333333333333E-2</v>
      </c>
    </row>
    <row r="385" spans="1:2" hidden="1" x14ac:dyDescent="0.35">
      <c r="A385" s="96" t="s">
        <v>661</v>
      </c>
      <c r="B385" s="52">
        <v>5.3300000000000007E-2</v>
      </c>
    </row>
    <row r="386" spans="1:2" hidden="1" x14ac:dyDescent="0.35">
      <c r="A386" s="96" t="s">
        <v>14</v>
      </c>
      <c r="B386" s="52">
        <v>5.3766666666666664E-2</v>
      </c>
    </row>
    <row r="387" spans="1:2" hidden="1" x14ac:dyDescent="0.35">
      <c r="A387" s="96" t="s">
        <v>576</v>
      </c>
      <c r="B387" s="52">
        <v>5.3999999999999999E-2</v>
      </c>
    </row>
    <row r="388" spans="1:2" hidden="1" x14ac:dyDescent="0.35">
      <c r="A388" s="96" t="s">
        <v>508</v>
      </c>
      <c r="B388" s="52">
        <v>5.4199999999999998E-2</v>
      </c>
    </row>
    <row r="389" spans="1:2" hidden="1" x14ac:dyDescent="0.35">
      <c r="A389" s="96" t="s">
        <v>51</v>
      </c>
      <c r="B389" s="52">
        <v>5.4733333333333335E-2</v>
      </c>
    </row>
    <row r="390" spans="1:2" hidden="1" x14ac:dyDescent="0.35">
      <c r="A390" s="96" t="s">
        <v>625</v>
      </c>
      <c r="B390" s="52">
        <v>5.5266666666666665E-2</v>
      </c>
    </row>
    <row r="391" spans="1:2" hidden="1" x14ac:dyDescent="0.35">
      <c r="A391" s="96" t="s">
        <v>856</v>
      </c>
      <c r="B391" s="52">
        <v>5.5600000000000004E-2</v>
      </c>
    </row>
    <row r="392" spans="1:2" hidden="1" x14ac:dyDescent="0.35">
      <c r="A392" s="96" t="s">
        <v>23</v>
      </c>
      <c r="B392" s="52">
        <v>5.6400000000000006E-2</v>
      </c>
    </row>
    <row r="393" spans="1:2" hidden="1" x14ac:dyDescent="0.35">
      <c r="A393" s="96" t="s">
        <v>854</v>
      </c>
      <c r="B393" s="52">
        <v>5.686666666666667E-2</v>
      </c>
    </row>
    <row r="394" spans="1:2" hidden="1" x14ac:dyDescent="0.35">
      <c r="A394" s="96" t="s">
        <v>817</v>
      </c>
      <c r="B394" s="52">
        <v>5.7100000000000005E-2</v>
      </c>
    </row>
    <row r="395" spans="1:2" hidden="1" x14ac:dyDescent="0.35">
      <c r="A395" s="96" t="s">
        <v>807</v>
      </c>
      <c r="B395" s="52">
        <v>5.7933333333333337E-2</v>
      </c>
    </row>
    <row r="396" spans="1:2" hidden="1" x14ac:dyDescent="0.35">
      <c r="A396" s="96" t="s">
        <v>772</v>
      </c>
      <c r="B396" s="52">
        <v>5.8133333333333335E-2</v>
      </c>
    </row>
    <row r="397" spans="1:2" hidden="1" x14ac:dyDescent="0.35">
      <c r="A397" s="96" t="s">
        <v>443</v>
      </c>
      <c r="B397" s="52">
        <v>5.8166666666666665E-2</v>
      </c>
    </row>
    <row r="398" spans="1:2" hidden="1" x14ac:dyDescent="0.35">
      <c r="A398" s="96" t="s">
        <v>453</v>
      </c>
      <c r="B398" s="52">
        <v>5.8233333333333331E-2</v>
      </c>
    </row>
    <row r="399" spans="1:2" hidden="1" x14ac:dyDescent="0.35">
      <c r="A399" s="96" t="s">
        <v>711</v>
      </c>
      <c r="B399" s="52">
        <v>5.9233333333333339E-2</v>
      </c>
    </row>
    <row r="400" spans="1:2" hidden="1" x14ac:dyDescent="0.35">
      <c r="A400" s="96" t="s">
        <v>739</v>
      </c>
      <c r="B400" s="52">
        <v>5.9900000000000002E-2</v>
      </c>
    </row>
    <row r="401" spans="1:2" hidden="1" x14ac:dyDescent="0.35">
      <c r="A401" s="96" t="s">
        <v>852</v>
      </c>
      <c r="B401" s="52">
        <v>6.0033333333333334E-2</v>
      </c>
    </row>
    <row r="402" spans="1:2" hidden="1" x14ac:dyDescent="0.35">
      <c r="A402" s="96" t="s">
        <v>708</v>
      </c>
      <c r="B402" s="52">
        <v>6.0299999999999992E-2</v>
      </c>
    </row>
    <row r="403" spans="1:2" hidden="1" x14ac:dyDescent="0.35">
      <c r="A403" s="96" t="s">
        <v>669</v>
      </c>
      <c r="B403" s="52">
        <v>6.0366666666666659E-2</v>
      </c>
    </row>
    <row r="404" spans="1:2" hidden="1" x14ac:dyDescent="0.35">
      <c r="A404" s="96" t="s">
        <v>590</v>
      </c>
      <c r="B404" s="52">
        <v>6.083333333333333E-2</v>
      </c>
    </row>
    <row r="405" spans="1:2" hidden="1" x14ac:dyDescent="0.35">
      <c r="A405" s="96" t="s">
        <v>871</v>
      </c>
      <c r="B405" s="52">
        <v>6.0999999999999999E-2</v>
      </c>
    </row>
    <row r="406" spans="1:2" hidden="1" x14ac:dyDescent="0.35">
      <c r="A406" s="96" t="s">
        <v>285</v>
      </c>
      <c r="B406" s="52">
        <v>6.2E-2</v>
      </c>
    </row>
    <row r="407" spans="1:2" hidden="1" x14ac:dyDescent="0.35">
      <c r="A407" s="96" t="s">
        <v>101</v>
      </c>
      <c r="B407" s="52">
        <v>6.2400000000000004E-2</v>
      </c>
    </row>
    <row r="408" spans="1:2" hidden="1" x14ac:dyDescent="0.35">
      <c r="A408" s="96" t="s">
        <v>234</v>
      </c>
      <c r="B408" s="52">
        <v>6.2633333333333333E-2</v>
      </c>
    </row>
    <row r="409" spans="1:2" hidden="1" x14ac:dyDescent="0.35">
      <c r="A409" s="96" t="s">
        <v>97</v>
      </c>
      <c r="B409" s="52">
        <v>6.3066666666666674E-2</v>
      </c>
    </row>
    <row r="410" spans="1:2" hidden="1" x14ac:dyDescent="0.35">
      <c r="A410" s="96" t="s">
        <v>728</v>
      </c>
      <c r="B410" s="52">
        <v>6.3133333333333333E-2</v>
      </c>
    </row>
    <row r="411" spans="1:2" hidden="1" x14ac:dyDescent="0.35">
      <c r="A411" s="96" t="s">
        <v>665</v>
      </c>
      <c r="B411" s="52">
        <v>6.3433333333333328E-2</v>
      </c>
    </row>
    <row r="412" spans="1:2" hidden="1" x14ac:dyDescent="0.35">
      <c r="A412" s="96" t="s">
        <v>594</v>
      </c>
      <c r="B412" s="52">
        <v>6.3733333333333336E-2</v>
      </c>
    </row>
    <row r="413" spans="1:2" hidden="1" x14ac:dyDescent="0.35">
      <c r="A413" s="96" t="s">
        <v>224</v>
      </c>
      <c r="B413" s="52">
        <v>6.3933333333333342E-2</v>
      </c>
    </row>
    <row r="414" spans="1:2" hidden="1" x14ac:dyDescent="0.35">
      <c r="A414" s="96" t="s">
        <v>89</v>
      </c>
      <c r="B414" s="52">
        <v>6.4066666666666675E-2</v>
      </c>
    </row>
    <row r="415" spans="1:2" hidden="1" x14ac:dyDescent="0.35">
      <c r="A415" s="96" t="s">
        <v>328</v>
      </c>
      <c r="B415" s="52">
        <v>6.4166666666666664E-2</v>
      </c>
    </row>
    <row r="416" spans="1:2" hidden="1" x14ac:dyDescent="0.35">
      <c r="A416" s="96" t="s">
        <v>704</v>
      </c>
      <c r="B416" s="52">
        <v>6.4233333333333337E-2</v>
      </c>
    </row>
    <row r="417" spans="1:2" hidden="1" x14ac:dyDescent="0.35">
      <c r="A417" s="96" t="s">
        <v>202</v>
      </c>
      <c r="B417" s="52">
        <v>6.4699999999999994E-2</v>
      </c>
    </row>
    <row r="418" spans="1:2" hidden="1" x14ac:dyDescent="0.35">
      <c r="A418" s="96" t="s">
        <v>716</v>
      </c>
      <c r="B418" s="52">
        <v>6.5299999999999997E-2</v>
      </c>
    </row>
    <row r="419" spans="1:2" hidden="1" x14ac:dyDescent="0.35">
      <c r="A419" s="96" t="s">
        <v>176</v>
      </c>
      <c r="B419" s="52">
        <v>6.54E-2</v>
      </c>
    </row>
    <row r="420" spans="1:2" hidden="1" x14ac:dyDescent="0.35">
      <c r="A420" s="96" t="s">
        <v>283</v>
      </c>
      <c r="B420" s="52">
        <v>6.5499999999999989E-2</v>
      </c>
    </row>
    <row r="421" spans="1:2" hidden="1" x14ac:dyDescent="0.35">
      <c r="A421" s="96" t="s">
        <v>47</v>
      </c>
      <c r="B421" s="52">
        <v>6.5599999999999992E-2</v>
      </c>
    </row>
    <row r="422" spans="1:2" hidden="1" x14ac:dyDescent="0.35">
      <c r="A422" s="96" t="s">
        <v>627</v>
      </c>
      <c r="B422" s="52">
        <v>6.5599999999999992E-2</v>
      </c>
    </row>
    <row r="423" spans="1:2" hidden="1" x14ac:dyDescent="0.35">
      <c r="A423" s="96" t="s">
        <v>39</v>
      </c>
      <c r="B423" s="52">
        <v>6.5766666666666654E-2</v>
      </c>
    </row>
    <row r="424" spans="1:2" hidden="1" x14ac:dyDescent="0.35">
      <c r="A424" s="96" t="s">
        <v>10</v>
      </c>
      <c r="B424" s="52">
        <v>6.6133333333333336E-2</v>
      </c>
    </row>
    <row r="425" spans="1:2" hidden="1" x14ac:dyDescent="0.35">
      <c r="A425" s="96" t="s">
        <v>864</v>
      </c>
      <c r="B425" s="52">
        <v>6.6166666666666665E-2</v>
      </c>
    </row>
    <row r="426" spans="1:2" hidden="1" x14ac:dyDescent="0.35">
      <c r="A426" s="96" t="s">
        <v>698</v>
      </c>
      <c r="B426" s="52">
        <v>6.6333333333333341E-2</v>
      </c>
    </row>
    <row r="427" spans="1:2" hidden="1" x14ac:dyDescent="0.35">
      <c r="A427" s="96" t="s">
        <v>320</v>
      </c>
      <c r="B427" s="52">
        <v>6.6466666666666674E-2</v>
      </c>
    </row>
    <row r="428" spans="1:2" hidden="1" x14ac:dyDescent="0.35">
      <c r="A428" s="96" t="s">
        <v>439</v>
      </c>
      <c r="B428" s="52">
        <v>6.6699999999999995E-2</v>
      </c>
    </row>
    <row r="429" spans="1:2" hidden="1" x14ac:dyDescent="0.35">
      <c r="A429" s="96" t="s">
        <v>840</v>
      </c>
      <c r="B429" s="52">
        <v>6.6733333333333325E-2</v>
      </c>
    </row>
    <row r="430" spans="1:2" hidden="1" x14ac:dyDescent="0.35">
      <c r="A430" s="96" t="s">
        <v>905</v>
      </c>
      <c r="B430" s="52">
        <v>6.7500000000000004E-2</v>
      </c>
    </row>
    <row r="431" spans="1:2" hidden="1" x14ac:dyDescent="0.35">
      <c r="A431" s="96" t="s">
        <v>461</v>
      </c>
      <c r="B431" s="52">
        <v>6.7566666666666678E-2</v>
      </c>
    </row>
    <row r="432" spans="1:2" hidden="1" x14ac:dyDescent="0.35">
      <c r="A432" s="96" t="s">
        <v>266</v>
      </c>
      <c r="B432" s="52">
        <v>6.7833333333333343E-2</v>
      </c>
    </row>
    <row r="433" spans="1:2" hidden="1" x14ac:dyDescent="0.35">
      <c r="A433" s="96" t="s">
        <v>86</v>
      </c>
      <c r="B433" s="52">
        <v>6.7966666666666661E-2</v>
      </c>
    </row>
    <row r="434" spans="1:2" hidden="1" x14ac:dyDescent="0.35">
      <c r="A434" s="96" t="s">
        <v>611</v>
      </c>
      <c r="B434" s="52">
        <v>6.8099999999999994E-2</v>
      </c>
    </row>
    <row r="435" spans="1:2" hidden="1" x14ac:dyDescent="0.35">
      <c r="A435" s="96" t="s">
        <v>502</v>
      </c>
      <c r="B435" s="52">
        <v>6.8099999999999994E-2</v>
      </c>
    </row>
    <row r="436" spans="1:2" hidden="1" x14ac:dyDescent="0.35">
      <c r="A436" s="96" t="s">
        <v>690</v>
      </c>
      <c r="B436" s="52">
        <v>6.8633333333333338E-2</v>
      </c>
    </row>
    <row r="437" spans="1:2" hidden="1" x14ac:dyDescent="0.35">
      <c r="A437" s="96" t="s">
        <v>485</v>
      </c>
      <c r="B437" s="52">
        <v>6.8699999999999997E-2</v>
      </c>
    </row>
    <row r="438" spans="1:2" hidden="1" x14ac:dyDescent="0.35">
      <c r="A438" s="96" t="s">
        <v>633</v>
      </c>
      <c r="B438" s="52">
        <v>6.9233333333333327E-2</v>
      </c>
    </row>
    <row r="439" spans="1:2" hidden="1" x14ac:dyDescent="0.35">
      <c r="A439" s="96" t="s">
        <v>733</v>
      </c>
      <c r="B439" s="52">
        <v>6.9266666666666657E-2</v>
      </c>
    </row>
    <row r="440" spans="1:2" hidden="1" x14ac:dyDescent="0.35">
      <c r="A440" s="96" t="s">
        <v>252</v>
      </c>
      <c r="B440" s="52">
        <v>6.933333333333333E-2</v>
      </c>
    </row>
    <row r="441" spans="1:2" hidden="1" x14ac:dyDescent="0.35">
      <c r="A441" s="96" t="s">
        <v>604</v>
      </c>
      <c r="B441" s="52">
        <v>6.9633333333333325E-2</v>
      </c>
    </row>
    <row r="442" spans="1:2" hidden="1" x14ac:dyDescent="0.35">
      <c r="A442" s="96" t="s">
        <v>782</v>
      </c>
      <c r="B442" s="52">
        <v>7.0133333333333339E-2</v>
      </c>
    </row>
    <row r="443" spans="1:2" hidden="1" x14ac:dyDescent="0.35">
      <c r="A443" s="96" t="s">
        <v>160</v>
      </c>
      <c r="B443" s="52">
        <v>7.0333333333333331E-2</v>
      </c>
    </row>
    <row r="444" spans="1:2" hidden="1" x14ac:dyDescent="0.35">
      <c r="A444" s="96" t="s">
        <v>674</v>
      </c>
      <c r="B444" s="52">
        <v>7.0666666666666669E-2</v>
      </c>
    </row>
    <row r="445" spans="1:2" hidden="1" x14ac:dyDescent="0.35">
      <c r="A445" s="96" t="s">
        <v>903</v>
      </c>
      <c r="B445" s="52">
        <v>7.0766666666666658E-2</v>
      </c>
    </row>
    <row r="446" spans="1:2" hidden="1" x14ac:dyDescent="0.35">
      <c r="A446" s="96" t="s">
        <v>270</v>
      </c>
      <c r="B446" s="52">
        <v>7.0800000000000002E-2</v>
      </c>
    </row>
    <row r="447" spans="1:2" hidden="1" x14ac:dyDescent="0.35">
      <c r="A447" s="96" t="s">
        <v>696</v>
      </c>
      <c r="B447" s="52">
        <v>7.17E-2</v>
      </c>
    </row>
    <row r="448" spans="1:2" hidden="1" x14ac:dyDescent="0.35">
      <c r="A448" s="96" t="s">
        <v>834</v>
      </c>
      <c r="B448" s="52">
        <v>7.22E-2</v>
      </c>
    </row>
    <row r="449" spans="1:2" hidden="1" x14ac:dyDescent="0.35">
      <c r="A449" s="96" t="s">
        <v>257</v>
      </c>
      <c r="B449" s="52">
        <v>7.2299999999999989E-2</v>
      </c>
    </row>
    <row r="450" spans="1:2" hidden="1" x14ac:dyDescent="0.35">
      <c r="A450" s="96" t="s">
        <v>309</v>
      </c>
      <c r="B450" s="52">
        <v>7.2499999999999995E-2</v>
      </c>
    </row>
    <row r="451" spans="1:2" hidden="1" x14ac:dyDescent="0.35">
      <c r="A451" s="96" t="s">
        <v>17</v>
      </c>
      <c r="B451" s="52">
        <v>7.273333333333333E-2</v>
      </c>
    </row>
    <row r="452" spans="1:2" hidden="1" x14ac:dyDescent="0.35">
      <c r="A452" s="96" t="s">
        <v>776</v>
      </c>
      <c r="B452" s="52">
        <v>7.273333333333333E-2</v>
      </c>
    </row>
    <row r="453" spans="1:2" hidden="1" x14ac:dyDescent="0.35">
      <c r="A453" s="96" t="s">
        <v>21</v>
      </c>
      <c r="B453" s="52">
        <v>7.276666666666666E-2</v>
      </c>
    </row>
    <row r="454" spans="1:2" hidden="1" x14ac:dyDescent="0.35">
      <c r="A454" s="96" t="s">
        <v>650</v>
      </c>
      <c r="B454" s="52">
        <v>7.3966666666666667E-2</v>
      </c>
    </row>
    <row r="455" spans="1:2" hidden="1" x14ac:dyDescent="0.35">
      <c r="A455" s="96" t="s">
        <v>706</v>
      </c>
      <c r="B455" s="52">
        <v>7.4200000000000002E-2</v>
      </c>
    </row>
    <row r="456" spans="1:2" hidden="1" x14ac:dyDescent="0.35">
      <c r="A456" s="96" t="s">
        <v>526</v>
      </c>
      <c r="B456" s="52">
        <v>7.4233333333333332E-2</v>
      </c>
    </row>
    <row r="457" spans="1:2" hidden="1" x14ac:dyDescent="0.35">
      <c r="A457" s="96" t="s">
        <v>259</v>
      </c>
      <c r="B457" s="52">
        <v>7.4933333333333338E-2</v>
      </c>
    </row>
    <row r="458" spans="1:2" hidden="1" x14ac:dyDescent="0.35">
      <c r="A458" s="96" t="s">
        <v>911</v>
      </c>
      <c r="B458" s="52">
        <v>7.5266666666666662E-2</v>
      </c>
    </row>
    <row r="459" spans="1:2" hidden="1" x14ac:dyDescent="0.35">
      <c r="A459" s="96" t="s">
        <v>796</v>
      </c>
      <c r="B459" s="52">
        <v>7.5566666666666671E-2</v>
      </c>
    </row>
    <row r="460" spans="1:2" hidden="1" x14ac:dyDescent="0.35">
      <c r="A460" s="96" t="s">
        <v>598</v>
      </c>
      <c r="B460" s="52">
        <v>7.5600000000000001E-2</v>
      </c>
    </row>
    <row r="461" spans="1:2" hidden="1" x14ac:dyDescent="0.35">
      <c r="A461" s="96" t="s">
        <v>670</v>
      </c>
      <c r="B461" s="52">
        <v>7.6266666666666663E-2</v>
      </c>
    </row>
    <row r="462" spans="1:2" hidden="1" x14ac:dyDescent="0.35">
      <c r="A462" s="96" t="s">
        <v>291</v>
      </c>
      <c r="B462" s="52">
        <v>7.6666666666666661E-2</v>
      </c>
    </row>
    <row r="463" spans="1:2" hidden="1" x14ac:dyDescent="0.35">
      <c r="A463" s="96" t="s">
        <v>788</v>
      </c>
      <c r="B463" s="52">
        <v>7.686666666666668E-2</v>
      </c>
    </row>
    <row r="464" spans="1:2" hidden="1" x14ac:dyDescent="0.35">
      <c r="A464" s="96" t="s">
        <v>433</v>
      </c>
      <c r="B464" s="52">
        <v>7.693333333333334E-2</v>
      </c>
    </row>
    <row r="465" spans="1:2" hidden="1" x14ac:dyDescent="0.35">
      <c r="A465" s="96" t="s">
        <v>886</v>
      </c>
      <c r="B465" s="52">
        <v>7.6966666666666669E-2</v>
      </c>
    </row>
    <row r="466" spans="1:2" hidden="1" x14ac:dyDescent="0.35">
      <c r="A466" s="96" t="s">
        <v>342</v>
      </c>
      <c r="B466" s="52">
        <v>7.7100000000000002E-2</v>
      </c>
    </row>
    <row r="467" spans="1:2" hidden="1" x14ac:dyDescent="0.35">
      <c r="A467" s="96" t="s">
        <v>346</v>
      </c>
      <c r="B467" s="52">
        <v>7.7133333333333332E-2</v>
      </c>
    </row>
    <row r="468" spans="1:2" hidden="1" x14ac:dyDescent="0.35">
      <c r="A468" s="96" t="s">
        <v>702</v>
      </c>
      <c r="B468" s="52">
        <v>7.7499999999999999E-2</v>
      </c>
    </row>
    <row r="469" spans="1:2" hidden="1" x14ac:dyDescent="0.35">
      <c r="A469" s="96" t="s">
        <v>676</v>
      </c>
      <c r="B469" s="52">
        <v>7.7633333333333332E-2</v>
      </c>
    </row>
    <row r="470" spans="1:2" hidden="1" x14ac:dyDescent="0.35">
      <c r="A470" s="96" t="s">
        <v>731</v>
      </c>
      <c r="B470" s="52">
        <v>7.7900000000000011E-2</v>
      </c>
    </row>
    <row r="471" spans="1:2" hidden="1" x14ac:dyDescent="0.35">
      <c r="A471" s="96" t="s">
        <v>757</v>
      </c>
      <c r="B471" s="52">
        <v>7.8200000000000006E-2</v>
      </c>
    </row>
    <row r="472" spans="1:2" hidden="1" x14ac:dyDescent="0.35">
      <c r="A472" s="96" t="s">
        <v>287</v>
      </c>
      <c r="B472" s="52">
        <v>7.85E-2</v>
      </c>
    </row>
    <row r="473" spans="1:2" hidden="1" x14ac:dyDescent="0.35">
      <c r="A473" s="96" t="s">
        <v>659</v>
      </c>
      <c r="B473" s="52">
        <v>7.8866666666666668E-2</v>
      </c>
    </row>
    <row r="474" spans="1:2" hidden="1" x14ac:dyDescent="0.35">
      <c r="A474" s="96" t="s">
        <v>888</v>
      </c>
      <c r="B474" s="52">
        <v>7.9133333333333333E-2</v>
      </c>
    </row>
    <row r="475" spans="1:2" hidden="1" x14ac:dyDescent="0.35">
      <c r="A475" s="96" t="s">
        <v>889</v>
      </c>
      <c r="B475" s="52">
        <v>7.9433333333333342E-2</v>
      </c>
    </row>
    <row r="476" spans="1:2" hidden="1" x14ac:dyDescent="0.35">
      <c r="A476" s="96" t="s">
        <v>31</v>
      </c>
      <c r="B476" s="52">
        <v>7.9766666666666666E-2</v>
      </c>
    </row>
    <row r="477" spans="1:2" hidden="1" x14ac:dyDescent="0.35">
      <c r="A477" s="96" t="s">
        <v>759</v>
      </c>
      <c r="B477" s="52">
        <v>8.0133333333333334E-2</v>
      </c>
    </row>
    <row r="478" spans="1:2" hidden="1" x14ac:dyDescent="0.35">
      <c r="A478" s="96" t="s">
        <v>629</v>
      </c>
      <c r="B478" s="52">
        <v>8.0133333333333334E-2</v>
      </c>
    </row>
    <row r="479" spans="1:2" hidden="1" x14ac:dyDescent="0.35">
      <c r="A479" s="96" t="s">
        <v>688</v>
      </c>
      <c r="B479" s="52">
        <v>8.0133333333333334E-2</v>
      </c>
    </row>
    <row r="480" spans="1:2" hidden="1" x14ac:dyDescent="0.35">
      <c r="A480" s="96" t="s">
        <v>469</v>
      </c>
      <c r="B480" s="52">
        <v>8.0366666666666656E-2</v>
      </c>
    </row>
    <row r="481" spans="1:2" hidden="1" x14ac:dyDescent="0.35">
      <c r="A481" s="96" t="s">
        <v>901</v>
      </c>
      <c r="B481" s="52">
        <v>8.0633333333333335E-2</v>
      </c>
    </row>
    <row r="482" spans="1:2" hidden="1" x14ac:dyDescent="0.35">
      <c r="A482" s="96" t="s">
        <v>821</v>
      </c>
      <c r="B482" s="52">
        <v>8.09E-2</v>
      </c>
    </row>
    <row r="483" spans="1:2" hidden="1" x14ac:dyDescent="0.35">
      <c r="A483" s="96" t="s">
        <v>917</v>
      </c>
      <c r="B483" s="52">
        <v>8.1299999999999997E-2</v>
      </c>
    </row>
    <row r="484" spans="1:2" hidden="1" x14ac:dyDescent="0.35">
      <c r="A484" s="96" t="s">
        <v>37</v>
      </c>
      <c r="B484" s="52">
        <v>8.1966666666666674E-2</v>
      </c>
    </row>
    <row r="485" spans="1:2" hidden="1" x14ac:dyDescent="0.35">
      <c r="A485" s="96" t="s">
        <v>724</v>
      </c>
      <c r="B485" s="52">
        <v>8.2066666666666663E-2</v>
      </c>
    </row>
    <row r="486" spans="1:2" hidden="1" x14ac:dyDescent="0.35">
      <c r="A486" s="96" t="s">
        <v>332</v>
      </c>
      <c r="B486" s="52">
        <v>8.2099999999999992E-2</v>
      </c>
    </row>
    <row r="487" spans="1:2" hidden="1" x14ac:dyDescent="0.35">
      <c r="A487" s="96" t="s">
        <v>262</v>
      </c>
      <c r="B487" s="52">
        <v>8.2299999999999998E-2</v>
      </c>
    </row>
    <row r="488" spans="1:2" hidden="1" x14ac:dyDescent="0.35">
      <c r="A488" s="96" t="s">
        <v>276</v>
      </c>
      <c r="B488" s="52">
        <v>8.2566666666666663E-2</v>
      </c>
    </row>
    <row r="489" spans="1:2" hidden="1" x14ac:dyDescent="0.35">
      <c r="A489" s="96" t="s">
        <v>206</v>
      </c>
      <c r="B489" s="52">
        <v>8.270000000000001E-2</v>
      </c>
    </row>
    <row r="490" spans="1:2" hidden="1" x14ac:dyDescent="0.35">
      <c r="A490" s="96" t="s">
        <v>208</v>
      </c>
      <c r="B490" s="52">
        <v>8.3666666666666667E-2</v>
      </c>
    </row>
    <row r="491" spans="1:2" hidden="1" x14ac:dyDescent="0.35">
      <c r="A491" s="96" t="s">
        <v>893</v>
      </c>
      <c r="B491" s="52">
        <v>8.3699999999999997E-2</v>
      </c>
    </row>
    <row r="492" spans="1:2" hidden="1" x14ac:dyDescent="0.35">
      <c r="A492" s="96" t="s">
        <v>551</v>
      </c>
      <c r="B492" s="52">
        <v>8.3866666666666659E-2</v>
      </c>
    </row>
    <row r="493" spans="1:2" hidden="1" x14ac:dyDescent="0.35">
      <c r="A493" s="96" t="s">
        <v>726</v>
      </c>
      <c r="B493" s="52">
        <v>8.4166666666666667E-2</v>
      </c>
    </row>
    <row r="494" spans="1:2" hidden="1" x14ac:dyDescent="0.35">
      <c r="A494" s="96" t="s">
        <v>648</v>
      </c>
      <c r="B494" s="52">
        <v>8.4633333333333338E-2</v>
      </c>
    </row>
    <row r="495" spans="1:2" hidden="1" x14ac:dyDescent="0.35">
      <c r="A495" s="96" t="s">
        <v>295</v>
      </c>
      <c r="B495" s="52">
        <v>8.4666666666666668E-2</v>
      </c>
    </row>
    <row r="496" spans="1:2" hidden="1" x14ac:dyDescent="0.35">
      <c r="A496" s="96" t="s">
        <v>29</v>
      </c>
      <c r="B496" s="52">
        <v>8.483333333333333E-2</v>
      </c>
    </row>
    <row r="497" spans="1:2" hidden="1" x14ac:dyDescent="0.35">
      <c r="A497" s="96" t="s">
        <v>140</v>
      </c>
      <c r="B497" s="52">
        <v>8.5199999999999998E-2</v>
      </c>
    </row>
    <row r="498" spans="1:2" hidden="1" x14ac:dyDescent="0.35">
      <c r="A498" s="96" t="s">
        <v>371</v>
      </c>
      <c r="B498" s="52">
        <v>8.6000000000000007E-2</v>
      </c>
    </row>
    <row r="499" spans="1:2" hidden="1" x14ac:dyDescent="0.35">
      <c r="A499" s="96" t="s">
        <v>352</v>
      </c>
      <c r="B499" s="52">
        <v>8.6266666666666672E-2</v>
      </c>
    </row>
    <row r="500" spans="1:2" hidden="1" x14ac:dyDescent="0.35">
      <c r="A500" s="96" t="s">
        <v>749</v>
      </c>
      <c r="B500" s="52">
        <v>8.7133333333333327E-2</v>
      </c>
    </row>
    <row r="501" spans="1:2" hidden="1" x14ac:dyDescent="0.35">
      <c r="A501" s="96" t="s">
        <v>592</v>
      </c>
      <c r="B501" s="52">
        <v>8.7366666666666662E-2</v>
      </c>
    </row>
    <row r="502" spans="1:2" hidden="1" x14ac:dyDescent="0.35">
      <c r="A502" s="96" t="s">
        <v>613</v>
      </c>
      <c r="B502" s="52">
        <v>8.9633333333333343E-2</v>
      </c>
    </row>
    <row r="503" spans="1:2" hidden="1" x14ac:dyDescent="0.35">
      <c r="A503" s="96" t="s">
        <v>1</v>
      </c>
      <c r="B503" s="52">
        <v>9.0000000000000011E-2</v>
      </c>
    </row>
    <row r="504" spans="1:2" hidden="1" x14ac:dyDescent="0.35">
      <c r="A504" s="96" t="s">
        <v>524</v>
      </c>
      <c r="B504" s="52">
        <v>9.003333333333334E-2</v>
      </c>
    </row>
    <row r="505" spans="1:2" hidden="1" x14ac:dyDescent="0.35">
      <c r="A505" s="96" t="s">
        <v>164</v>
      </c>
      <c r="B505" s="52">
        <v>9.0966666666666654E-2</v>
      </c>
    </row>
    <row r="506" spans="1:2" hidden="1" x14ac:dyDescent="0.35">
      <c r="A506" s="96" t="s">
        <v>324</v>
      </c>
      <c r="B506" s="52">
        <v>9.11E-2</v>
      </c>
    </row>
    <row r="507" spans="1:2" hidden="1" x14ac:dyDescent="0.35">
      <c r="A507" s="96" t="s">
        <v>645</v>
      </c>
      <c r="B507" s="52">
        <v>9.2700000000000005E-2</v>
      </c>
    </row>
    <row r="508" spans="1:2" hidden="1" x14ac:dyDescent="0.35">
      <c r="A508" s="96" t="s">
        <v>344</v>
      </c>
      <c r="B508" s="52">
        <v>9.2933333333333326E-2</v>
      </c>
    </row>
    <row r="509" spans="1:2" hidden="1" x14ac:dyDescent="0.35">
      <c r="A509" s="96" t="s">
        <v>663</v>
      </c>
      <c r="B509" s="52">
        <v>9.3266666666666664E-2</v>
      </c>
    </row>
    <row r="510" spans="1:2" hidden="1" x14ac:dyDescent="0.35">
      <c r="A510" s="96" t="s">
        <v>813</v>
      </c>
      <c r="B510" s="52">
        <v>9.6799999999999997E-2</v>
      </c>
    </row>
    <row r="511" spans="1:2" hidden="1" x14ac:dyDescent="0.35">
      <c r="A511" s="96" t="s">
        <v>25</v>
      </c>
      <c r="B511" s="52">
        <v>9.74E-2</v>
      </c>
    </row>
    <row r="512" spans="1:2" hidden="1" x14ac:dyDescent="0.35">
      <c r="A512" s="96" t="s">
        <v>909</v>
      </c>
      <c r="B512" s="52">
        <v>9.9633333333333352E-2</v>
      </c>
    </row>
    <row r="513" spans="1:2" hidden="1" x14ac:dyDescent="0.35">
      <c r="A513" s="96" t="s">
        <v>680</v>
      </c>
      <c r="B513" s="52">
        <v>9.9999999999999992E-2</v>
      </c>
    </row>
    <row r="514" spans="1:2" hidden="1" x14ac:dyDescent="0.35">
      <c r="A514" s="96" t="s">
        <v>646</v>
      </c>
      <c r="B514" s="52">
        <v>0.10023333333333334</v>
      </c>
    </row>
    <row r="515" spans="1:2" hidden="1" x14ac:dyDescent="0.35">
      <c r="A515" s="96" t="s">
        <v>654</v>
      </c>
      <c r="B515" s="52">
        <v>0.10099999999999999</v>
      </c>
    </row>
    <row r="516" spans="1:2" hidden="1" x14ac:dyDescent="0.35">
      <c r="A516" s="96" t="s">
        <v>188</v>
      </c>
      <c r="B516" s="52">
        <v>0.10146666666666666</v>
      </c>
    </row>
    <row r="517" spans="1:2" hidden="1" x14ac:dyDescent="0.35">
      <c r="A517" s="96" t="s">
        <v>718</v>
      </c>
      <c r="B517" s="52">
        <v>0.10349999999999999</v>
      </c>
    </row>
    <row r="518" spans="1:2" hidden="1" x14ac:dyDescent="0.35">
      <c r="A518" s="96" t="s">
        <v>617</v>
      </c>
      <c r="B518" s="52">
        <v>0.105</v>
      </c>
    </row>
    <row r="519" spans="1:2" hidden="1" x14ac:dyDescent="0.35">
      <c r="A519" s="96" t="s">
        <v>720</v>
      </c>
      <c r="B519" s="52">
        <v>0.10559999999999999</v>
      </c>
    </row>
    <row r="520" spans="1:2" hidden="1" x14ac:dyDescent="0.35">
      <c r="A520" s="96" t="s">
        <v>315</v>
      </c>
      <c r="B520" s="52">
        <v>0.10583333333333333</v>
      </c>
    </row>
    <row r="521" spans="1:2" hidden="1" x14ac:dyDescent="0.35">
      <c r="A521" s="96" t="s">
        <v>338</v>
      </c>
      <c r="B521" s="52">
        <v>0.10673333333333333</v>
      </c>
    </row>
    <row r="522" spans="1:2" hidden="1" x14ac:dyDescent="0.35">
      <c r="A522" s="96" t="s">
        <v>780</v>
      </c>
      <c r="B522" s="52">
        <v>0.10793333333333333</v>
      </c>
    </row>
    <row r="523" spans="1:2" hidden="1" x14ac:dyDescent="0.35">
      <c r="A523" s="96" t="s">
        <v>850</v>
      </c>
      <c r="B523" s="52">
        <v>0.10806666666666666</v>
      </c>
    </row>
    <row r="524" spans="1:2" hidden="1" x14ac:dyDescent="0.35">
      <c r="A524" s="96" t="s">
        <v>407</v>
      </c>
      <c r="B524" s="52">
        <v>0.10959999999999999</v>
      </c>
    </row>
    <row r="525" spans="1:2" hidden="1" x14ac:dyDescent="0.35">
      <c r="A525" s="96" t="s">
        <v>583</v>
      </c>
      <c r="B525" s="52">
        <v>0.11066666666666668</v>
      </c>
    </row>
    <row r="526" spans="1:2" hidden="1" x14ac:dyDescent="0.35">
      <c r="A526" s="96" t="s">
        <v>302</v>
      </c>
      <c r="B526" s="52">
        <v>0.1109</v>
      </c>
    </row>
    <row r="527" spans="1:2" hidden="1" x14ac:dyDescent="0.35">
      <c r="A527" s="96" t="s">
        <v>755</v>
      </c>
      <c r="B527" s="52">
        <v>0.11413333333333332</v>
      </c>
    </row>
    <row r="528" spans="1:2" hidden="1" x14ac:dyDescent="0.35">
      <c r="A528" s="96" t="s">
        <v>178</v>
      </c>
      <c r="B528" s="52">
        <v>0.11846666666666668</v>
      </c>
    </row>
    <row r="529" spans="1:2" hidden="1" x14ac:dyDescent="0.35">
      <c r="A529" s="96" t="s">
        <v>844</v>
      </c>
      <c r="B529" s="52">
        <v>0.1215</v>
      </c>
    </row>
    <row r="530" spans="1:2" hidden="1" x14ac:dyDescent="0.35">
      <c r="A530" s="96" t="s">
        <v>760</v>
      </c>
      <c r="B530" s="52">
        <v>0.12369999999999999</v>
      </c>
    </row>
    <row r="531" spans="1:2" hidden="1" x14ac:dyDescent="0.35">
      <c r="A531" s="96" t="s">
        <v>824</v>
      </c>
      <c r="B531" s="52">
        <v>0.1313</v>
      </c>
    </row>
    <row r="532" spans="1:2" hidden="1" x14ac:dyDescent="0.35">
      <c r="A532" s="96" t="s">
        <v>609</v>
      </c>
      <c r="B532" s="52">
        <v>0.13899999999999998</v>
      </c>
    </row>
    <row r="533" spans="1:2" hidden="1" x14ac:dyDescent="0.35">
      <c r="A533" s="96" t="s">
        <v>619</v>
      </c>
      <c r="B533" s="52">
        <v>0.13919999999999999</v>
      </c>
    </row>
    <row r="534" spans="1:2" hidden="1" x14ac:dyDescent="0.35">
      <c r="A534" s="96" t="s">
        <v>652</v>
      </c>
      <c r="B534" s="52">
        <v>0.15516666666666667</v>
      </c>
    </row>
    <row r="535" spans="1:2" hidden="1" x14ac:dyDescent="0.35">
      <c r="A535" s="96" t="s">
        <v>243</v>
      </c>
      <c r="B535" s="52">
        <v>0.15753333333333333</v>
      </c>
    </row>
    <row r="536" spans="1:2" hidden="1" x14ac:dyDescent="0.35">
      <c r="A536" s="96" t="s">
        <v>832</v>
      </c>
      <c r="B536" s="52">
        <v>0.1663</v>
      </c>
    </row>
    <row r="537" spans="1:2" hidden="1" x14ac:dyDescent="0.35">
      <c r="A537" s="96" t="s">
        <v>823</v>
      </c>
      <c r="B537" s="52">
        <v>0.17450000000000002</v>
      </c>
    </row>
    <row r="538" spans="1:2" hidden="1" x14ac:dyDescent="0.35">
      <c r="A538" s="96" t="s">
        <v>880</v>
      </c>
      <c r="B538" s="52">
        <v>0.18763333333333332</v>
      </c>
    </row>
    <row r="539" spans="1:2" hidden="1" x14ac:dyDescent="0.35">
      <c r="A539" s="96" t="s">
        <v>794</v>
      </c>
      <c r="B539" s="52">
        <v>0.19353333333333333</v>
      </c>
    </row>
    <row r="540" spans="1:2" hidden="1" x14ac:dyDescent="0.35">
      <c r="A540" s="96" t="s">
        <v>200</v>
      </c>
      <c r="B540" s="52">
        <v>0.21103333333333332</v>
      </c>
    </row>
    <row r="541" spans="1:2" hidden="1" x14ac:dyDescent="0.35">
      <c r="A541" s="96" t="s">
        <v>578</v>
      </c>
      <c r="B541" s="52">
        <v>0.21299999999999999</v>
      </c>
    </row>
    <row r="542" spans="1:2" hidden="1" x14ac:dyDescent="0.35">
      <c r="A542" s="96" t="s">
        <v>907</v>
      </c>
      <c r="B542" s="52">
        <v>0.22383333333333333</v>
      </c>
    </row>
    <row r="543" spans="1:2" hidden="1" x14ac:dyDescent="0.35">
      <c r="A543" s="96" t="s">
        <v>631</v>
      </c>
      <c r="B543" s="52">
        <v>0.25313333333333332</v>
      </c>
    </row>
    <row r="544" spans="1:2" hidden="1" x14ac:dyDescent="0.35">
      <c r="A544" s="96" t="s">
        <v>606</v>
      </c>
      <c r="B544" s="52">
        <v>0.2568333333333333</v>
      </c>
    </row>
    <row r="545" spans="1:2" hidden="1" x14ac:dyDescent="0.35">
      <c r="A545" s="96" t="s">
        <v>915</v>
      </c>
      <c r="B545" s="52">
        <v>0.36933333333333335</v>
      </c>
    </row>
    <row r="546" spans="1:2" hidden="1" x14ac:dyDescent="0.35">
      <c r="A546" s="96" t="s">
        <v>641</v>
      </c>
      <c r="B546" s="52">
        <v>2.2813333333333334</v>
      </c>
    </row>
    <row r="547" spans="1:2" hidden="1" x14ac:dyDescent="0.35">
      <c r="A547" s="96" t="s">
        <v>146</v>
      </c>
      <c r="B547" s="52">
        <v>6.7147777777777792E-2</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CB497-0660-4190-8DEF-4B85DFCE47CF}">
  <sheetPr codeName="Sheet8"/>
  <dimension ref="A1:K283"/>
  <sheetViews>
    <sheetView topLeftCell="E1" workbookViewId="0">
      <selection activeCell="L1" sqref="L1"/>
    </sheetView>
  </sheetViews>
  <sheetFormatPr defaultRowHeight="14.5" x14ac:dyDescent="0.35"/>
  <cols>
    <col min="1" max="1" width="48.81640625" bestFit="1" customWidth="1"/>
    <col min="2" max="2" width="13.6328125" bestFit="1" customWidth="1"/>
    <col min="3" max="3" width="12.36328125" bestFit="1" customWidth="1"/>
    <col min="4" max="4" width="15" bestFit="1" customWidth="1"/>
    <col min="5" max="5" width="12.90625" bestFit="1" customWidth="1"/>
    <col min="6" max="6" width="18.36328125" bestFit="1" customWidth="1"/>
    <col min="7" max="7" width="11.453125" bestFit="1" customWidth="1"/>
    <col min="8" max="8" width="20.90625" bestFit="1" customWidth="1"/>
    <col min="9" max="9" width="14.81640625" bestFit="1" customWidth="1"/>
    <col min="10" max="10" width="13.81640625" style="84" bestFit="1" customWidth="1"/>
    <col min="11" max="11" width="12.7265625" bestFit="1" customWidth="1"/>
    <col min="12" max="12" width="8.7265625" customWidth="1"/>
  </cols>
  <sheetData>
    <row r="1" spans="1:11" x14ac:dyDescent="0.35">
      <c r="A1" t="s">
        <v>0</v>
      </c>
      <c r="B1" t="s">
        <v>1</v>
      </c>
      <c r="C1" t="s">
        <v>2</v>
      </c>
      <c r="D1" t="s">
        <v>3</v>
      </c>
      <c r="E1" t="s">
        <v>4</v>
      </c>
      <c r="F1" t="s">
        <v>5</v>
      </c>
      <c r="G1" t="s">
        <v>143</v>
      </c>
      <c r="H1" t="s">
        <v>558</v>
      </c>
      <c r="I1" t="s">
        <v>569</v>
      </c>
      <c r="J1" s="84" t="s">
        <v>570</v>
      </c>
      <c r="K1" t="s">
        <v>571</v>
      </c>
    </row>
    <row r="2" spans="1:11" x14ac:dyDescent="0.35">
      <c r="A2" t="s">
        <v>6</v>
      </c>
      <c r="B2" t="s">
        <v>7</v>
      </c>
      <c r="C2">
        <v>122.28</v>
      </c>
      <c r="D2">
        <v>0</v>
      </c>
      <c r="E2">
        <v>12717729</v>
      </c>
      <c r="F2">
        <v>5017104</v>
      </c>
      <c r="G2" t="s">
        <v>144</v>
      </c>
      <c r="H2">
        <v>104000</v>
      </c>
      <c r="I2">
        <f t="shared" ref="I2:I65" si="0">C2/(1+D2)</f>
        <v>122.28</v>
      </c>
      <c r="J2" s="84">
        <f t="shared" ref="J2:J65" si="1">C2-I2</f>
        <v>0</v>
      </c>
      <c r="K2" t="str">
        <f t="shared" ref="K2:K65" si="2">IF(C2&lt;10,"Up to $10","&gt;= $10")</f>
        <v>&gt;= $10</v>
      </c>
    </row>
    <row r="3" spans="1:11" x14ac:dyDescent="0.35">
      <c r="A3" t="s">
        <v>8</v>
      </c>
      <c r="B3" t="s">
        <v>9</v>
      </c>
      <c r="C3">
        <v>60968.85</v>
      </c>
      <c r="D3">
        <v>5.9999999999999995E-4</v>
      </c>
      <c r="E3">
        <v>1222307110742</v>
      </c>
      <c r="F3">
        <v>67558459644</v>
      </c>
      <c r="G3" t="s">
        <v>144</v>
      </c>
      <c r="H3">
        <v>20030000</v>
      </c>
      <c r="I3">
        <f t="shared" si="0"/>
        <v>60932.290625624628</v>
      </c>
      <c r="J3" s="84">
        <f t="shared" si="1"/>
        <v>36.55937437537068</v>
      </c>
      <c r="K3" t="str">
        <f t="shared" si="2"/>
        <v>&gt;= $10</v>
      </c>
    </row>
    <row r="4" spans="1:11" x14ac:dyDescent="0.35">
      <c r="A4" t="s">
        <v>10</v>
      </c>
      <c r="B4" t="s">
        <v>11</v>
      </c>
      <c r="C4">
        <v>1573.61</v>
      </c>
      <c r="D4">
        <v>1.2999999999999999E-3</v>
      </c>
      <c r="E4">
        <v>189809648557</v>
      </c>
      <c r="F4">
        <v>36178864935</v>
      </c>
      <c r="G4" t="s">
        <v>144</v>
      </c>
      <c r="H4">
        <v>120680000</v>
      </c>
      <c r="I4">
        <f t="shared" si="0"/>
        <v>1571.5669629481672</v>
      </c>
      <c r="J4" s="84">
        <f t="shared" si="1"/>
        <v>2.0430370518326981</v>
      </c>
      <c r="K4" t="str">
        <f t="shared" si="2"/>
        <v>&gt;= $10</v>
      </c>
    </row>
    <row r="5" spans="1:11" x14ac:dyDescent="0.35">
      <c r="A5" t="s">
        <v>12</v>
      </c>
      <c r="B5" t="s">
        <v>13</v>
      </c>
      <c r="C5">
        <v>0.99929999999999997</v>
      </c>
      <c r="D5">
        <v>1E-4</v>
      </c>
      <c r="E5">
        <v>187016155521</v>
      </c>
      <c r="F5">
        <v>128822587010</v>
      </c>
      <c r="G5" t="s">
        <v>145</v>
      </c>
      <c r="H5">
        <v>187110000000</v>
      </c>
      <c r="I5">
        <f t="shared" si="0"/>
        <v>0.99920007999200078</v>
      </c>
      <c r="J5" s="84">
        <f t="shared" si="1"/>
        <v>9.9920007999187987E-5</v>
      </c>
      <c r="K5" t="str">
        <f t="shared" si="2"/>
        <v>Up to $10</v>
      </c>
    </row>
    <row r="6" spans="1:11" x14ac:dyDescent="0.35">
      <c r="A6" t="s">
        <v>14</v>
      </c>
      <c r="B6" t="s">
        <v>14</v>
      </c>
      <c r="C6">
        <v>578.54</v>
      </c>
      <c r="D6">
        <v>3.5000000000000001E-3</v>
      </c>
      <c r="E6">
        <v>77889548635</v>
      </c>
      <c r="F6">
        <v>2533998725</v>
      </c>
      <c r="G6" t="s">
        <v>144</v>
      </c>
      <c r="H6">
        <v>134780000</v>
      </c>
      <c r="I6">
        <f t="shared" si="0"/>
        <v>576.52217239661184</v>
      </c>
      <c r="J6" s="84">
        <f t="shared" si="1"/>
        <v>2.0178276033881275</v>
      </c>
      <c r="K6" t="str">
        <f t="shared" si="2"/>
        <v>&gt;= $10</v>
      </c>
    </row>
    <row r="7" spans="1:11" x14ac:dyDescent="0.35">
      <c r="A7" t="s">
        <v>16</v>
      </c>
      <c r="B7" t="s">
        <v>16</v>
      </c>
      <c r="C7">
        <v>0.99960000000000004</v>
      </c>
      <c r="D7">
        <v>1E-4</v>
      </c>
      <c r="E7">
        <v>75523419769</v>
      </c>
      <c r="F7">
        <v>22902529346</v>
      </c>
      <c r="G7" t="s">
        <v>145</v>
      </c>
      <c r="H7">
        <v>75550000000</v>
      </c>
      <c r="I7">
        <f t="shared" si="0"/>
        <v>0.99950004999500053</v>
      </c>
      <c r="J7" s="84">
        <f t="shared" si="1"/>
        <v>9.9950004999516118E-5</v>
      </c>
      <c r="K7" t="str">
        <f t="shared" si="2"/>
        <v>Up to $10</v>
      </c>
    </row>
    <row r="8" spans="1:11" x14ac:dyDescent="0.35">
      <c r="A8" t="s">
        <v>15</v>
      </c>
      <c r="B8" t="s">
        <v>15</v>
      </c>
      <c r="C8">
        <v>1.0900000000000001</v>
      </c>
      <c r="D8">
        <v>2.3999999999999998E-3</v>
      </c>
      <c r="E8">
        <v>67738003484</v>
      </c>
      <c r="F8">
        <v>3848897507</v>
      </c>
      <c r="G8" t="s">
        <v>144</v>
      </c>
      <c r="H8">
        <v>62050000000</v>
      </c>
      <c r="I8">
        <f t="shared" si="0"/>
        <v>1.0873902633679171</v>
      </c>
      <c r="J8" s="84">
        <f t="shared" si="1"/>
        <v>2.6097366320829707E-3</v>
      </c>
      <c r="K8" t="str">
        <f t="shared" si="2"/>
        <v>Up to $10</v>
      </c>
    </row>
    <row r="9" spans="1:11" x14ac:dyDescent="0.35">
      <c r="A9" t="s">
        <v>17</v>
      </c>
      <c r="B9" t="s">
        <v>18</v>
      </c>
      <c r="C9">
        <v>62.84</v>
      </c>
      <c r="D9">
        <v>6.9999999999999999E-4</v>
      </c>
      <c r="E9">
        <v>36358851579</v>
      </c>
      <c r="F9">
        <v>5356898486</v>
      </c>
      <c r="G9" t="s">
        <v>145</v>
      </c>
      <c r="H9">
        <v>578550000</v>
      </c>
      <c r="I9">
        <f t="shared" si="0"/>
        <v>62.796042770060964</v>
      </c>
      <c r="J9" s="84">
        <f t="shared" si="1"/>
        <v>4.3957229939039166E-2</v>
      </c>
      <c r="K9" t="str">
        <f t="shared" si="2"/>
        <v>&gt;= $10</v>
      </c>
    </row>
    <row r="10" spans="1:11" x14ac:dyDescent="0.35">
      <c r="A10" t="s">
        <v>19</v>
      </c>
      <c r="B10" t="s">
        <v>20</v>
      </c>
      <c r="C10">
        <v>0.32100000000000001</v>
      </c>
      <c r="D10">
        <v>8.0000000000000004E-4</v>
      </c>
      <c r="E10">
        <v>30438649541</v>
      </c>
      <c r="F10">
        <v>947082968</v>
      </c>
      <c r="G10" t="s">
        <v>145</v>
      </c>
      <c r="H10">
        <v>94810000000</v>
      </c>
      <c r="I10">
        <f t="shared" si="0"/>
        <v>0.32074340527577944</v>
      </c>
      <c r="J10" s="84">
        <f t="shared" si="1"/>
        <v>2.5659472422057128E-4</v>
      </c>
      <c r="K10" t="str">
        <f t="shared" si="2"/>
        <v>Up to $10</v>
      </c>
    </row>
    <row r="11" spans="1:11" x14ac:dyDescent="0.35">
      <c r="A11" t="s">
        <v>21</v>
      </c>
      <c r="B11" t="s">
        <v>22</v>
      </c>
      <c r="C11">
        <v>59.86</v>
      </c>
      <c r="D11">
        <v>1.03E-2</v>
      </c>
      <c r="E11">
        <v>15164710261</v>
      </c>
      <c r="F11">
        <v>1291024158</v>
      </c>
      <c r="G11" t="s">
        <v>145</v>
      </c>
      <c r="H11">
        <v>253320000</v>
      </c>
      <c r="I11">
        <f t="shared" si="0"/>
        <v>59.24972780362269</v>
      </c>
      <c r="J11" s="84">
        <f t="shared" si="1"/>
        <v>0.61027219637730923</v>
      </c>
      <c r="K11" t="str">
        <f t="shared" si="2"/>
        <v>&gt;= $10</v>
      </c>
    </row>
    <row r="12" spans="1:11" x14ac:dyDescent="0.35">
      <c r="A12" t="s">
        <v>23</v>
      </c>
      <c r="B12" t="s">
        <v>24</v>
      </c>
      <c r="C12">
        <v>8.1100000000000005E-2</v>
      </c>
      <c r="D12">
        <v>2.8999999999999998E-3</v>
      </c>
      <c r="E12">
        <v>12531182811</v>
      </c>
      <c r="F12">
        <v>1790825480</v>
      </c>
      <c r="G12" t="s">
        <v>144</v>
      </c>
      <c r="H12">
        <v>154540000000</v>
      </c>
      <c r="I12">
        <f t="shared" si="0"/>
        <v>8.0865490078771571E-2</v>
      </c>
      <c r="J12" s="84">
        <f t="shared" si="1"/>
        <v>2.3450992122843461E-4</v>
      </c>
      <c r="K12" t="str">
        <f t="shared" si="2"/>
        <v>Up to $10</v>
      </c>
    </row>
    <row r="13" spans="1:11" x14ac:dyDescent="0.35">
      <c r="A13" t="s">
        <v>27</v>
      </c>
      <c r="B13" t="s">
        <v>28</v>
      </c>
      <c r="C13">
        <v>9.61</v>
      </c>
      <c r="D13">
        <v>5.0000000000000001E-4</v>
      </c>
      <c r="E13">
        <v>8854268103</v>
      </c>
      <c r="F13">
        <v>3832378</v>
      </c>
      <c r="G13" t="s">
        <v>145</v>
      </c>
      <c r="H13">
        <v>920450000</v>
      </c>
      <c r="I13">
        <f t="shared" si="0"/>
        <v>9.6051974012993497</v>
      </c>
      <c r="J13" s="84">
        <f t="shared" si="1"/>
        <v>4.8025987006496962E-3</v>
      </c>
      <c r="K13" t="str">
        <f t="shared" si="2"/>
        <v>Up to $10</v>
      </c>
    </row>
    <row r="14" spans="1:11" x14ac:dyDescent="0.35">
      <c r="A14" t="s">
        <v>29</v>
      </c>
      <c r="B14" t="s">
        <v>30</v>
      </c>
      <c r="C14">
        <v>0.19620000000000001</v>
      </c>
      <c r="D14">
        <v>5.1999999999999998E-3</v>
      </c>
      <c r="E14">
        <v>6619168999</v>
      </c>
      <c r="F14">
        <v>916226709</v>
      </c>
      <c r="G14" t="s">
        <v>144</v>
      </c>
      <c r="H14">
        <v>33720000000</v>
      </c>
      <c r="I14">
        <f t="shared" si="0"/>
        <v>0.1951850378034222</v>
      </c>
      <c r="J14" s="84">
        <f t="shared" si="1"/>
        <v>1.0149621965778177E-3</v>
      </c>
      <c r="K14" t="str">
        <f t="shared" si="2"/>
        <v>Up to $10</v>
      </c>
    </row>
    <row r="15" spans="1:11" x14ac:dyDescent="0.35">
      <c r="A15" t="s">
        <v>25</v>
      </c>
      <c r="B15" t="s">
        <v>26</v>
      </c>
      <c r="C15">
        <v>383.84</v>
      </c>
      <c r="D15">
        <v>3.5099999999999999E-2</v>
      </c>
      <c r="E15">
        <v>6413297048</v>
      </c>
      <c r="F15">
        <v>3017414794</v>
      </c>
      <c r="G15" t="s">
        <v>144</v>
      </c>
      <c r="H15">
        <v>16700000</v>
      </c>
      <c r="I15">
        <f t="shared" si="0"/>
        <v>370.82407496860208</v>
      </c>
      <c r="J15" s="84">
        <f t="shared" si="1"/>
        <v>13.015925031397899</v>
      </c>
      <c r="K15" t="str">
        <f t="shared" si="2"/>
        <v>&gt;= $10</v>
      </c>
    </row>
    <row r="16" spans="1:11" x14ac:dyDescent="0.35">
      <c r="A16" t="s">
        <v>158</v>
      </c>
      <c r="B16" t="s">
        <v>159</v>
      </c>
      <c r="C16">
        <v>0.15060000000000001</v>
      </c>
      <c r="D16">
        <v>6.6E-3</v>
      </c>
      <c r="E16">
        <v>5833576479</v>
      </c>
      <c r="F16">
        <v>27162323</v>
      </c>
      <c r="G16" t="s">
        <v>145</v>
      </c>
      <c r="H16">
        <v>38720000000</v>
      </c>
      <c r="I16">
        <f t="shared" si="0"/>
        <v>0.14961255712298829</v>
      </c>
      <c r="J16" s="84">
        <f t="shared" si="1"/>
        <v>9.8744287701171829E-4</v>
      </c>
      <c r="K16" t="str">
        <f t="shared" si="2"/>
        <v>Up to $10</v>
      </c>
    </row>
    <row r="17" spans="1:11" x14ac:dyDescent="0.35">
      <c r="A17" t="s">
        <v>35</v>
      </c>
      <c r="B17" t="s">
        <v>36</v>
      </c>
      <c r="C17">
        <v>0.18090000000000001</v>
      </c>
      <c r="D17">
        <v>2.5000000000000001E-3</v>
      </c>
      <c r="E17">
        <v>273900730</v>
      </c>
      <c r="F17">
        <v>64467700</v>
      </c>
      <c r="G17" t="s">
        <v>145</v>
      </c>
      <c r="H17">
        <v>1510000000</v>
      </c>
      <c r="I17">
        <f t="shared" si="0"/>
        <v>0.1804488778054863</v>
      </c>
      <c r="J17" s="84">
        <f t="shared" si="1"/>
        <v>4.5112219451370894E-4</v>
      </c>
      <c r="K17" t="str">
        <f t="shared" si="2"/>
        <v>Up to $10</v>
      </c>
    </row>
    <row r="18" spans="1:11" x14ac:dyDescent="0.35">
      <c r="A18" t="s">
        <v>160</v>
      </c>
      <c r="B18" t="s">
        <v>161</v>
      </c>
      <c r="C18">
        <v>0.29780000000000001</v>
      </c>
      <c r="D18">
        <v>7.7999999999999996E-3</v>
      </c>
      <c r="E18">
        <v>274014139</v>
      </c>
      <c r="F18">
        <v>45031935</v>
      </c>
      <c r="G18" t="s">
        <v>145</v>
      </c>
      <c r="H18">
        <v>919930000</v>
      </c>
      <c r="I18">
        <f t="shared" si="0"/>
        <v>0.2954951379241913</v>
      </c>
      <c r="J18" s="84">
        <f t="shared" si="1"/>
        <v>2.3048620758087113E-3</v>
      </c>
      <c r="K18" t="str">
        <f t="shared" si="2"/>
        <v>Up to $10</v>
      </c>
    </row>
    <row r="19" spans="1:11" x14ac:dyDescent="0.35">
      <c r="A19" t="s">
        <v>41</v>
      </c>
      <c r="B19" t="s">
        <v>42</v>
      </c>
      <c r="C19">
        <v>0.28610000000000002</v>
      </c>
      <c r="D19">
        <v>3.0000000000000001E-3</v>
      </c>
      <c r="E19">
        <v>266357437</v>
      </c>
      <c r="F19">
        <v>13854074</v>
      </c>
      <c r="G19" t="s">
        <v>145</v>
      </c>
      <c r="H19">
        <v>930990000</v>
      </c>
      <c r="I19">
        <f t="shared" si="0"/>
        <v>0.28524426719840484</v>
      </c>
      <c r="J19" s="84">
        <f t="shared" si="1"/>
        <v>8.5573280159517706E-4</v>
      </c>
      <c r="K19" t="str">
        <f t="shared" si="2"/>
        <v>Up to $10</v>
      </c>
    </row>
    <row r="20" spans="1:11" x14ac:dyDescent="0.35">
      <c r="A20" t="s">
        <v>162</v>
      </c>
      <c r="B20" t="s">
        <v>163</v>
      </c>
      <c r="C20">
        <v>6.2700000000000006E-2</v>
      </c>
      <c r="D20">
        <v>1.9E-3</v>
      </c>
      <c r="E20">
        <v>264481802</v>
      </c>
      <c r="F20">
        <v>12531234</v>
      </c>
      <c r="G20" t="s">
        <v>145</v>
      </c>
      <c r="H20">
        <v>990100000000000</v>
      </c>
      <c r="I20">
        <f t="shared" si="0"/>
        <v>6.2581095917756263E-2</v>
      </c>
      <c r="J20" s="84">
        <f t="shared" si="1"/>
        <v>1.189040822437426E-4</v>
      </c>
      <c r="K20" t="str">
        <f t="shared" si="2"/>
        <v>Up to $10</v>
      </c>
    </row>
    <row r="21" spans="1:11" x14ac:dyDescent="0.35">
      <c r="A21" t="s">
        <v>43</v>
      </c>
      <c r="B21" t="s">
        <v>44</v>
      </c>
      <c r="C21">
        <v>6.2600000000000003E-2</v>
      </c>
      <c r="D21">
        <v>6.1999999999999998E-3</v>
      </c>
      <c r="E21">
        <v>261321974</v>
      </c>
      <c r="F21">
        <v>11801193</v>
      </c>
      <c r="G21" t="s">
        <v>144</v>
      </c>
      <c r="H21">
        <v>987030000000000</v>
      </c>
      <c r="I21">
        <f t="shared" si="0"/>
        <v>6.22142715165971E-2</v>
      </c>
      <c r="J21" s="84">
        <f t="shared" si="1"/>
        <v>3.8572848340290289E-4</v>
      </c>
      <c r="K21" t="str">
        <f t="shared" si="2"/>
        <v>Up to $10</v>
      </c>
    </row>
    <row r="22" spans="1:11" x14ac:dyDescent="0.35">
      <c r="A22" t="s">
        <v>31</v>
      </c>
      <c r="B22" t="s">
        <v>32</v>
      </c>
      <c r="C22">
        <v>0.24060000000000001</v>
      </c>
      <c r="D22">
        <v>5.8999999999999999E-3</v>
      </c>
      <c r="E22">
        <v>261597532</v>
      </c>
      <c r="F22">
        <v>21160459</v>
      </c>
      <c r="G22" t="s">
        <v>144</v>
      </c>
      <c r="H22">
        <v>1080000000</v>
      </c>
      <c r="I22">
        <f t="shared" si="0"/>
        <v>0.23918878616164629</v>
      </c>
      <c r="J22" s="84">
        <f t="shared" si="1"/>
        <v>1.4112138383537143E-3</v>
      </c>
      <c r="K22" t="str">
        <f t="shared" si="2"/>
        <v>Up to $10</v>
      </c>
    </row>
    <row r="23" spans="1:11" x14ac:dyDescent="0.35">
      <c r="A23" t="s">
        <v>164</v>
      </c>
      <c r="B23" t="s">
        <v>165</v>
      </c>
      <c r="C23">
        <v>2.4500000000000001E-2</v>
      </c>
      <c r="D23">
        <v>6.9999999999999999E-4</v>
      </c>
      <c r="E23">
        <v>254959926</v>
      </c>
      <c r="F23">
        <v>80182341</v>
      </c>
      <c r="G23" t="s">
        <v>144</v>
      </c>
      <c r="H23">
        <v>10390000000</v>
      </c>
      <c r="I23">
        <f t="shared" si="0"/>
        <v>2.4482861996602382E-2</v>
      </c>
      <c r="J23" s="84">
        <f t="shared" si="1"/>
        <v>1.7138003397618867E-5</v>
      </c>
      <c r="K23" t="str">
        <f t="shared" si="2"/>
        <v>Up to $10</v>
      </c>
    </row>
    <row r="24" spans="1:11" x14ac:dyDescent="0.35">
      <c r="A24" t="s">
        <v>39</v>
      </c>
      <c r="B24" t="s">
        <v>40</v>
      </c>
      <c r="C24">
        <v>0.28649999999999998</v>
      </c>
      <c r="D24">
        <v>9.1000000000000004E-3</v>
      </c>
      <c r="E24">
        <v>252395264</v>
      </c>
      <c r="F24">
        <v>55933141</v>
      </c>
      <c r="G24" t="s">
        <v>145</v>
      </c>
      <c r="H24">
        <v>880660000</v>
      </c>
      <c r="I24">
        <f t="shared" si="0"/>
        <v>0.28391636111386381</v>
      </c>
      <c r="J24" s="84">
        <f t="shared" si="1"/>
        <v>2.5836388861361637E-3</v>
      </c>
      <c r="K24" t="str">
        <f t="shared" si="2"/>
        <v>Up to $10</v>
      </c>
    </row>
    <row r="25" spans="1:11" x14ac:dyDescent="0.35">
      <c r="A25" t="s">
        <v>37</v>
      </c>
      <c r="B25" t="s">
        <v>38</v>
      </c>
      <c r="C25">
        <v>0.12540000000000001</v>
      </c>
      <c r="D25">
        <v>1E-4</v>
      </c>
      <c r="E25">
        <v>250900826</v>
      </c>
      <c r="F25">
        <v>24328657</v>
      </c>
      <c r="G25" t="s">
        <v>144</v>
      </c>
      <c r="H25">
        <v>2000000000</v>
      </c>
      <c r="I25">
        <f t="shared" si="0"/>
        <v>0.12538746125387462</v>
      </c>
      <c r="J25" s="84">
        <f t="shared" si="1"/>
        <v>1.2538746125390077E-5</v>
      </c>
      <c r="K25" t="str">
        <f t="shared" si="2"/>
        <v>Up to $10</v>
      </c>
    </row>
    <row r="26" spans="1:11" x14ac:dyDescent="0.35">
      <c r="A26" t="s">
        <v>47</v>
      </c>
      <c r="B26" t="s">
        <v>48</v>
      </c>
      <c r="C26">
        <v>0.51719999999999999</v>
      </c>
      <c r="D26">
        <v>1.5900000000000001E-2</v>
      </c>
      <c r="E26">
        <v>248179055</v>
      </c>
      <c r="F26">
        <v>48228844</v>
      </c>
      <c r="G26" t="s">
        <v>144</v>
      </c>
      <c r="H26">
        <v>479780000</v>
      </c>
      <c r="I26">
        <f t="shared" si="0"/>
        <v>0.50910522689241067</v>
      </c>
      <c r="J26" s="84">
        <f t="shared" si="1"/>
        <v>8.0947731075893259E-3</v>
      </c>
      <c r="K26" t="str">
        <f t="shared" si="2"/>
        <v>Up to $10</v>
      </c>
    </row>
    <row r="27" spans="1:11" x14ac:dyDescent="0.35">
      <c r="A27" t="s">
        <v>166</v>
      </c>
      <c r="B27" t="s">
        <v>167</v>
      </c>
      <c r="C27">
        <v>2.0899999999999998E-2</v>
      </c>
      <c r="D27">
        <v>8.0000000000000004E-4</v>
      </c>
      <c r="E27">
        <v>247632562</v>
      </c>
      <c r="F27">
        <v>87830456</v>
      </c>
      <c r="G27" t="s">
        <v>145</v>
      </c>
      <c r="H27">
        <v>11820000000</v>
      </c>
      <c r="I27">
        <f t="shared" si="0"/>
        <v>2.0883293365307753E-2</v>
      </c>
      <c r="J27" s="84">
        <f t="shared" si="1"/>
        <v>1.6706634692244954E-5</v>
      </c>
      <c r="K27" t="str">
        <f t="shared" si="2"/>
        <v>Up to $10</v>
      </c>
    </row>
    <row r="28" spans="1:11" x14ac:dyDescent="0.35">
      <c r="A28" t="s">
        <v>33</v>
      </c>
      <c r="B28" t="s">
        <v>34</v>
      </c>
      <c r="C28">
        <v>3.1399999999999997E-2</v>
      </c>
      <c r="D28">
        <v>8.5000000000000006E-3</v>
      </c>
      <c r="E28">
        <v>247031990</v>
      </c>
      <c r="F28">
        <v>13164245</v>
      </c>
      <c r="G28" t="s">
        <v>145</v>
      </c>
      <c r="H28">
        <v>7870000000</v>
      </c>
      <c r="I28">
        <f t="shared" si="0"/>
        <v>3.1135349529003469E-2</v>
      </c>
      <c r="J28" s="84">
        <f t="shared" si="1"/>
        <v>2.6465047099652819E-4</v>
      </c>
      <c r="K28" t="str">
        <f t="shared" si="2"/>
        <v>Up to $10</v>
      </c>
    </row>
    <row r="29" spans="1:11" x14ac:dyDescent="0.35">
      <c r="A29" t="s">
        <v>51</v>
      </c>
      <c r="B29" t="s">
        <v>52</v>
      </c>
      <c r="C29">
        <v>2.3999999999999998E-3</v>
      </c>
      <c r="D29">
        <v>6.1000000000000004E-3</v>
      </c>
      <c r="E29">
        <v>243283377</v>
      </c>
      <c r="F29">
        <v>12663323</v>
      </c>
      <c r="G29" t="s">
        <v>144</v>
      </c>
      <c r="H29">
        <v>99990000000</v>
      </c>
      <c r="I29">
        <f t="shared" si="0"/>
        <v>2.3854487625484542E-3</v>
      </c>
      <c r="J29" s="84">
        <f t="shared" si="1"/>
        <v>1.4551237451545639E-5</v>
      </c>
      <c r="K29" t="str">
        <f t="shared" si="2"/>
        <v>Up to $10</v>
      </c>
    </row>
    <row r="30" spans="1:11" x14ac:dyDescent="0.35">
      <c r="A30" t="s">
        <v>49</v>
      </c>
      <c r="B30" t="s">
        <v>50</v>
      </c>
      <c r="C30">
        <v>6.9599999999999995E-2</v>
      </c>
      <c r="D30">
        <v>1.6999999999999999E-3</v>
      </c>
      <c r="E30">
        <v>241466434</v>
      </c>
      <c r="F30">
        <v>7123655</v>
      </c>
      <c r="G30" t="s">
        <v>145</v>
      </c>
      <c r="H30">
        <v>3470000000</v>
      </c>
      <c r="I30">
        <f t="shared" si="0"/>
        <v>6.9481880802635509E-2</v>
      </c>
      <c r="J30" s="84">
        <f t="shared" si="1"/>
        <v>1.1811919736448573E-4</v>
      </c>
      <c r="K30" t="str">
        <f t="shared" si="2"/>
        <v>Up to $10</v>
      </c>
    </row>
    <row r="31" spans="1:11" x14ac:dyDescent="0.35">
      <c r="A31" t="s">
        <v>45</v>
      </c>
      <c r="B31" t="s">
        <v>46</v>
      </c>
      <c r="C31">
        <v>90.35</v>
      </c>
      <c r="D31">
        <v>2.8E-3</v>
      </c>
      <c r="E31">
        <v>238500300</v>
      </c>
      <c r="F31">
        <v>8245189</v>
      </c>
      <c r="G31" t="s">
        <v>145</v>
      </c>
      <c r="H31">
        <v>2630000</v>
      </c>
      <c r="I31">
        <f t="shared" si="0"/>
        <v>90.097726366174712</v>
      </c>
      <c r="J31" s="84">
        <f t="shared" si="1"/>
        <v>0.25227363382528267</v>
      </c>
      <c r="K31" t="str">
        <f t="shared" si="2"/>
        <v>&gt;= $10</v>
      </c>
    </row>
    <row r="32" spans="1:11" x14ac:dyDescent="0.35">
      <c r="A32" t="s">
        <v>53</v>
      </c>
      <c r="B32" t="s">
        <v>54</v>
      </c>
      <c r="C32">
        <v>1.2999999999999999E-2</v>
      </c>
      <c r="D32">
        <v>2.0000000000000001E-4</v>
      </c>
      <c r="E32">
        <v>8117598746</v>
      </c>
      <c r="F32">
        <v>50695389</v>
      </c>
      <c r="G32" t="s">
        <v>145</v>
      </c>
      <c r="H32">
        <v>622640000000</v>
      </c>
      <c r="I32">
        <f t="shared" si="0"/>
        <v>1.2997400519896021E-2</v>
      </c>
      <c r="J32" s="84">
        <f t="shared" si="1"/>
        <v>2.5994801039781051E-6</v>
      </c>
      <c r="K32" t="str">
        <f t="shared" si="2"/>
        <v>Up to $10</v>
      </c>
    </row>
    <row r="33" spans="1:11" x14ac:dyDescent="0.35">
      <c r="A33" t="s">
        <v>55</v>
      </c>
      <c r="B33" t="s">
        <v>55</v>
      </c>
      <c r="C33">
        <v>9.32</v>
      </c>
      <c r="D33">
        <v>3.4099999999999998E-2</v>
      </c>
      <c r="E33">
        <v>2890106122</v>
      </c>
      <c r="F33">
        <v>131356485</v>
      </c>
      <c r="G33" t="s">
        <v>145</v>
      </c>
      <c r="H33">
        <v>309950000</v>
      </c>
      <c r="I33">
        <f t="shared" si="0"/>
        <v>9.012668020500918</v>
      </c>
      <c r="J33" s="84">
        <f t="shared" si="1"/>
        <v>0.30733197949908231</v>
      </c>
      <c r="K33" t="str">
        <f t="shared" si="2"/>
        <v>Up to $10</v>
      </c>
    </row>
    <row r="34" spans="1:11" x14ac:dyDescent="0.35">
      <c r="A34" t="s">
        <v>56</v>
      </c>
      <c r="B34" t="s">
        <v>57</v>
      </c>
      <c r="C34">
        <v>1.1299999999999999</v>
      </c>
      <c r="D34">
        <v>1.6999999999999999E-3</v>
      </c>
      <c r="E34">
        <v>2140253880</v>
      </c>
      <c r="F34">
        <v>250723</v>
      </c>
      <c r="G34" t="s">
        <v>144</v>
      </c>
      <c r="H34">
        <v>1880000000</v>
      </c>
      <c r="I34">
        <f t="shared" si="0"/>
        <v>1.1280822601577316</v>
      </c>
      <c r="J34" s="84">
        <f t="shared" si="1"/>
        <v>1.9177398422682845E-3</v>
      </c>
      <c r="K34" t="str">
        <f t="shared" si="2"/>
        <v>Up to $10</v>
      </c>
    </row>
    <row r="35" spans="1:11" x14ac:dyDescent="0.35">
      <c r="A35" t="s">
        <v>58</v>
      </c>
      <c r="B35" t="s">
        <v>58</v>
      </c>
      <c r="C35">
        <v>5.1700000000000003E-2</v>
      </c>
      <c r="D35">
        <v>1.1999999999999999E-3</v>
      </c>
      <c r="E35">
        <v>1565068927</v>
      </c>
      <c r="F35">
        <v>31262065</v>
      </c>
      <c r="G35" t="s">
        <v>145</v>
      </c>
      <c r="H35">
        <v>905700000000000</v>
      </c>
      <c r="I35">
        <f t="shared" si="0"/>
        <v>5.1638034358769472E-2</v>
      </c>
      <c r="J35" s="84">
        <f t="shared" si="1"/>
        <v>6.196564123053111E-5</v>
      </c>
      <c r="K35" t="str">
        <f t="shared" si="2"/>
        <v>Up to $10</v>
      </c>
    </row>
    <row r="36" spans="1:11" x14ac:dyDescent="0.35">
      <c r="A36" t="s">
        <v>59</v>
      </c>
      <c r="B36" t="s">
        <v>60</v>
      </c>
      <c r="C36">
        <v>0.99639999999999995</v>
      </c>
      <c r="D36">
        <v>5.9999999999999995E-4</v>
      </c>
      <c r="E36">
        <v>1297731215</v>
      </c>
      <c r="F36">
        <v>3375873</v>
      </c>
      <c r="G36" t="s">
        <v>145</v>
      </c>
      <c r="H36">
        <v>1300000000</v>
      </c>
      <c r="I36">
        <f t="shared" si="0"/>
        <v>0.99580251848890666</v>
      </c>
      <c r="J36" s="84">
        <f t="shared" si="1"/>
        <v>5.9748151109328962E-4</v>
      </c>
      <c r="K36" t="str">
        <f t="shared" si="2"/>
        <v>Up to $10</v>
      </c>
    </row>
    <row r="37" spans="1:11" x14ac:dyDescent="0.35">
      <c r="A37" t="s">
        <v>61</v>
      </c>
      <c r="B37" t="s">
        <v>62</v>
      </c>
      <c r="C37">
        <v>0.184</v>
      </c>
      <c r="D37">
        <v>3.5000000000000001E-3</v>
      </c>
      <c r="E37">
        <v>820728735</v>
      </c>
      <c r="F37">
        <v>13299991</v>
      </c>
      <c r="G37" t="s">
        <v>144</v>
      </c>
      <c r="H37">
        <v>4450000000</v>
      </c>
      <c r="I37">
        <f t="shared" si="0"/>
        <v>0.18335824613851517</v>
      </c>
      <c r="J37" s="84">
        <f t="shared" si="1"/>
        <v>6.4175386148482283E-4</v>
      </c>
      <c r="K37" t="str">
        <f t="shared" si="2"/>
        <v>Up to $10</v>
      </c>
    </row>
    <row r="38" spans="1:11" x14ac:dyDescent="0.35">
      <c r="A38" t="s">
        <v>63</v>
      </c>
      <c r="B38" t="s">
        <v>64</v>
      </c>
      <c r="C38">
        <v>3.21</v>
      </c>
      <c r="D38">
        <v>1E-4</v>
      </c>
      <c r="E38">
        <v>714715192</v>
      </c>
      <c r="F38">
        <v>14229959</v>
      </c>
      <c r="G38" t="s">
        <v>145</v>
      </c>
      <c r="H38">
        <v>221970000</v>
      </c>
      <c r="I38">
        <f t="shared" si="0"/>
        <v>3.2096790320967905</v>
      </c>
      <c r="J38" s="84">
        <f t="shared" si="1"/>
        <v>3.2096790320945701E-4</v>
      </c>
      <c r="K38" t="str">
        <f t="shared" si="2"/>
        <v>Up to $10</v>
      </c>
    </row>
    <row r="39" spans="1:11" x14ac:dyDescent="0.35">
      <c r="A39" t="s">
        <v>65</v>
      </c>
      <c r="B39" t="s">
        <v>66</v>
      </c>
      <c r="C39">
        <v>7.8700000000000006E-2</v>
      </c>
      <c r="D39">
        <v>5.4000000000000003E-3</v>
      </c>
      <c r="E39">
        <v>609084813</v>
      </c>
      <c r="F39">
        <v>10007774</v>
      </c>
      <c r="G39" t="s">
        <v>144</v>
      </c>
      <c r="H39">
        <v>7730000000</v>
      </c>
      <c r="I39">
        <f t="shared" si="0"/>
        <v>7.8277302566142834E-2</v>
      </c>
      <c r="J39" s="84">
        <f t="shared" si="1"/>
        <v>4.2269743385717207E-4</v>
      </c>
      <c r="K39" t="str">
        <f t="shared" si="2"/>
        <v>Up to $10</v>
      </c>
    </row>
    <row r="40" spans="1:11" x14ac:dyDescent="0.35">
      <c r="A40" t="s">
        <v>67</v>
      </c>
      <c r="B40" t="s">
        <v>67</v>
      </c>
      <c r="C40">
        <v>0.99919999999999998</v>
      </c>
      <c r="D40">
        <v>4.0000000000000002E-4</v>
      </c>
      <c r="E40">
        <v>583570858</v>
      </c>
      <c r="F40">
        <v>2244874</v>
      </c>
      <c r="G40" t="s">
        <v>145</v>
      </c>
      <c r="H40">
        <v>584000000</v>
      </c>
      <c r="I40">
        <f t="shared" si="0"/>
        <v>0.99880047980807674</v>
      </c>
      <c r="J40" s="84">
        <f t="shared" si="1"/>
        <v>3.9952019192324162E-4</v>
      </c>
      <c r="K40" t="str">
        <f t="shared" si="2"/>
        <v>Up to $10</v>
      </c>
    </row>
    <row r="41" spans="1:11" x14ac:dyDescent="0.35">
      <c r="A41" t="s">
        <v>68</v>
      </c>
      <c r="B41" t="s">
        <v>69</v>
      </c>
      <c r="C41">
        <v>105.91</v>
      </c>
      <c r="D41">
        <v>0</v>
      </c>
      <c r="E41">
        <v>571672236</v>
      </c>
      <c r="F41">
        <v>423</v>
      </c>
      <c r="G41" t="s">
        <v>145</v>
      </c>
      <c r="H41">
        <v>5390000</v>
      </c>
      <c r="I41">
        <f t="shared" si="0"/>
        <v>105.91</v>
      </c>
      <c r="J41" s="84">
        <f t="shared" si="1"/>
        <v>0</v>
      </c>
      <c r="K41" t="str">
        <f t="shared" si="2"/>
        <v>&gt;= $10</v>
      </c>
    </row>
    <row r="42" spans="1:11" x14ac:dyDescent="0.35">
      <c r="A42" t="s">
        <v>70</v>
      </c>
      <c r="B42" t="s">
        <v>71</v>
      </c>
      <c r="C42">
        <v>1</v>
      </c>
      <c r="D42">
        <v>2.9999999999999997E-4</v>
      </c>
      <c r="E42">
        <v>491058984</v>
      </c>
      <c r="F42">
        <v>312567119</v>
      </c>
      <c r="G42" t="s">
        <v>145</v>
      </c>
      <c r="H42">
        <v>490620000</v>
      </c>
      <c r="I42">
        <f t="shared" si="0"/>
        <v>0.99970008997300808</v>
      </c>
      <c r="J42" s="84">
        <f t="shared" si="1"/>
        <v>2.9991002699192304E-4</v>
      </c>
      <c r="K42" t="str">
        <f t="shared" si="2"/>
        <v>Up to $10</v>
      </c>
    </row>
    <row r="43" spans="1:11" x14ac:dyDescent="0.35">
      <c r="A43" t="s">
        <v>72</v>
      </c>
      <c r="B43" t="s">
        <v>72</v>
      </c>
      <c r="C43">
        <v>1</v>
      </c>
      <c r="D43">
        <v>0</v>
      </c>
      <c r="E43">
        <v>305808446</v>
      </c>
      <c r="F43">
        <v>1874312</v>
      </c>
      <c r="G43" t="s">
        <v>144</v>
      </c>
      <c r="H43">
        <v>305800000</v>
      </c>
      <c r="I43">
        <f t="shared" si="0"/>
        <v>1</v>
      </c>
      <c r="J43" s="84">
        <f t="shared" si="1"/>
        <v>0</v>
      </c>
      <c r="K43" t="str">
        <f t="shared" si="2"/>
        <v>Up to $10</v>
      </c>
    </row>
    <row r="44" spans="1:11" x14ac:dyDescent="0.35">
      <c r="A44" t="s">
        <v>168</v>
      </c>
      <c r="B44" t="s">
        <v>169</v>
      </c>
      <c r="C44">
        <v>0.9929</v>
      </c>
      <c r="D44">
        <v>0</v>
      </c>
      <c r="E44">
        <v>273892137</v>
      </c>
      <c r="F44">
        <v>13849236</v>
      </c>
      <c r="G44" t="s">
        <v>144</v>
      </c>
      <c r="H44">
        <v>275840000</v>
      </c>
      <c r="I44">
        <f t="shared" si="0"/>
        <v>0.9929</v>
      </c>
      <c r="J44" s="84">
        <f t="shared" si="1"/>
        <v>0</v>
      </c>
      <c r="K44" t="str">
        <f t="shared" si="2"/>
        <v>Up to $10</v>
      </c>
    </row>
    <row r="45" spans="1:11" x14ac:dyDescent="0.35">
      <c r="A45" t="s">
        <v>170</v>
      </c>
      <c r="B45" t="s">
        <v>171</v>
      </c>
      <c r="C45">
        <v>1.4200000000000001E-2</v>
      </c>
      <c r="D45">
        <v>6.1000000000000004E-3</v>
      </c>
      <c r="E45">
        <v>67643803</v>
      </c>
      <c r="F45">
        <v>5138075</v>
      </c>
      <c r="G45" t="s">
        <v>144</v>
      </c>
      <c r="H45">
        <v>4770000000</v>
      </c>
      <c r="I45">
        <f t="shared" si="0"/>
        <v>1.4113905178411689E-2</v>
      </c>
      <c r="J45" s="84">
        <f t="shared" si="1"/>
        <v>8.6094821588311374E-5</v>
      </c>
      <c r="K45" t="str">
        <f t="shared" si="2"/>
        <v>Up to $10</v>
      </c>
    </row>
    <row r="46" spans="1:11" x14ac:dyDescent="0.35">
      <c r="A46" t="s">
        <v>172</v>
      </c>
      <c r="B46" t="s">
        <v>173</v>
      </c>
      <c r="C46">
        <v>79.25</v>
      </c>
      <c r="D46">
        <v>2.0000000000000001E-4</v>
      </c>
      <c r="E46">
        <v>67492922</v>
      </c>
      <c r="F46">
        <v>1492</v>
      </c>
      <c r="G46" t="s">
        <v>145</v>
      </c>
      <c r="H46">
        <v>851580</v>
      </c>
      <c r="I46">
        <f t="shared" si="0"/>
        <v>79.234153169366124</v>
      </c>
      <c r="J46" s="84">
        <f t="shared" si="1"/>
        <v>1.5846830633876152E-2</v>
      </c>
      <c r="K46" t="str">
        <f t="shared" si="2"/>
        <v>&gt;= $10</v>
      </c>
    </row>
    <row r="47" spans="1:11" x14ac:dyDescent="0.35">
      <c r="A47" t="s">
        <v>73</v>
      </c>
      <c r="B47" t="s">
        <v>74</v>
      </c>
      <c r="C47">
        <v>6.8199999999999997E-2</v>
      </c>
      <c r="D47">
        <v>1.55E-2</v>
      </c>
      <c r="E47">
        <v>67243924</v>
      </c>
      <c r="F47">
        <v>204652</v>
      </c>
      <c r="G47" t="s">
        <v>145</v>
      </c>
      <c r="H47">
        <v>986440000</v>
      </c>
      <c r="I47">
        <f t="shared" si="0"/>
        <v>6.7159034958148692E-2</v>
      </c>
      <c r="J47" s="84">
        <f t="shared" si="1"/>
        <v>1.040965041851305E-3</v>
      </c>
      <c r="K47" t="str">
        <f t="shared" si="2"/>
        <v>Up to $10</v>
      </c>
    </row>
    <row r="48" spans="1:11" x14ac:dyDescent="0.35">
      <c r="A48" t="s">
        <v>174</v>
      </c>
      <c r="B48" t="s">
        <v>175</v>
      </c>
      <c r="C48">
        <v>746.2</v>
      </c>
      <c r="D48">
        <v>6.9999999999999999E-4</v>
      </c>
      <c r="E48">
        <v>66999291</v>
      </c>
      <c r="F48">
        <v>1091042</v>
      </c>
      <c r="G48" t="s">
        <v>144</v>
      </c>
      <c r="H48">
        <v>89780</v>
      </c>
      <c r="I48">
        <f t="shared" si="0"/>
        <v>745.67802538223259</v>
      </c>
      <c r="J48" s="84">
        <f t="shared" si="1"/>
        <v>0.52197461776745513</v>
      </c>
      <c r="K48" t="str">
        <f t="shared" si="2"/>
        <v>&gt;= $10</v>
      </c>
    </row>
    <row r="49" spans="1:11" x14ac:dyDescent="0.35">
      <c r="A49" t="s">
        <v>176</v>
      </c>
      <c r="B49" t="s">
        <v>177</v>
      </c>
      <c r="C49">
        <v>4.1000000000000003E-3</v>
      </c>
      <c r="D49">
        <v>5.8999999999999999E-3</v>
      </c>
      <c r="E49">
        <v>66960760</v>
      </c>
      <c r="F49">
        <v>10832272</v>
      </c>
      <c r="G49" t="s">
        <v>145</v>
      </c>
      <c r="H49">
        <v>16280000000.000002</v>
      </c>
      <c r="I49">
        <f t="shared" si="0"/>
        <v>4.0759518838850784E-3</v>
      </c>
      <c r="J49" s="84">
        <f t="shared" si="1"/>
        <v>2.4048116114921969E-5</v>
      </c>
      <c r="K49" t="str">
        <f t="shared" si="2"/>
        <v>Up to $10</v>
      </c>
    </row>
    <row r="50" spans="1:11" x14ac:dyDescent="0.35">
      <c r="A50" t="s">
        <v>178</v>
      </c>
      <c r="B50" t="s">
        <v>179</v>
      </c>
      <c r="C50">
        <v>0.24160000000000001</v>
      </c>
      <c r="D50">
        <v>1.8E-3</v>
      </c>
      <c r="E50">
        <v>66707414</v>
      </c>
      <c r="F50">
        <v>22230640</v>
      </c>
      <c r="G50" t="s">
        <v>145</v>
      </c>
      <c r="H50">
        <v>276050000</v>
      </c>
      <c r="I50">
        <f t="shared" si="0"/>
        <v>0.24116590137752048</v>
      </c>
      <c r="J50" s="84">
        <f t="shared" si="1"/>
        <v>4.3409862247953401E-4</v>
      </c>
      <c r="K50" t="str">
        <f t="shared" si="2"/>
        <v>Up to $10</v>
      </c>
    </row>
    <row r="51" spans="1:11" x14ac:dyDescent="0.35">
      <c r="A51" t="s">
        <v>180</v>
      </c>
      <c r="B51" t="s">
        <v>181</v>
      </c>
      <c r="C51">
        <v>7.8200000000000006E-2</v>
      </c>
      <c r="D51">
        <v>5.1999999999999998E-3</v>
      </c>
      <c r="E51">
        <v>65908563</v>
      </c>
      <c r="F51">
        <v>238851</v>
      </c>
      <c r="G51" t="s">
        <v>144</v>
      </c>
      <c r="H51">
        <v>842760000</v>
      </c>
      <c r="I51">
        <f t="shared" si="0"/>
        <v>7.7795463589335451E-2</v>
      </c>
      <c r="J51" s="84">
        <f t="shared" si="1"/>
        <v>4.0453641066455492E-4</v>
      </c>
      <c r="K51" t="str">
        <f t="shared" si="2"/>
        <v>Up to $10</v>
      </c>
    </row>
    <row r="52" spans="1:11" x14ac:dyDescent="0.35">
      <c r="A52" t="s">
        <v>182</v>
      </c>
      <c r="B52" t="s">
        <v>183</v>
      </c>
      <c r="C52">
        <v>5.2299999999999999E-2</v>
      </c>
      <c r="D52">
        <v>1.5E-3</v>
      </c>
      <c r="E52">
        <v>65765710</v>
      </c>
      <c r="F52">
        <v>5958343</v>
      </c>
      <c r="G52" t="s">
        <v>145</v>
      </c>
      <c r="H52">
        <v>1250000000</v>
      </c>
      <c r="I52">
        <f t="shared" si="0"/>
        <v>5.2221667498751866E-2</v>
      </c>
      <c r="J52" s="84">
        <f t="shared" si="1"/>
        <v>7.8332501248133679E-5</v>
      </c>
      <c r="K52" t="str">
        <f t="shared" si="2"/>
        <v>Up to $10</v>
      </c>
    </row>
    <row r="53" spans="1:11" x14ac:dyDescent="0.35">
      <c r="A53" t="s">
        <v>184</v>
      </c>
      <c r="B53" t="s">
        <v>185</v>
      </c>
      <c r="C53">
        <v>8.8999999999999996E-2</v>
      </c>
      <c r="D53">
        <v>7.1000000000000004E-3</v>
      </c>
      <c r="E53">
        <v>65648698</v>
      </c>
      <c r="F53">
        <v>533716</v>
      </c>
      <c r="G53" t="s">
        <v>145</v>
      </c>
      <c r="H53">
        <v>737520000</v>
      </c>
      <c r="I53">
        <f t="shared" si="0"/>
        <v>8.8372554860490504E-2</v>
      </c>
      <c r="J53" s="84">
        <f t="shared" si="1"/>
        <v>6.2744513950949155E-4</v>
      </c>
      <c r="K53" t="str">
        <f t="shared" si="2"/>
        <v>Up to $10</v>
      </c>
    </row>
    <row r="54" spans="1:11" x14ac:dyDescent="0.35">
      <c r="A54" t="s">
        <v>76</v>
      </c>
      <c r="B54" t="s">
        <v>77</v>
      </c>
      <c r="C54">
        <v>2.2599999999999999E-2</v>
      </c>
      <c r="D54">
        <v>3.4299999999999997E-2</v>
      </c>
      <c r="E54">
        <v>65583008</v>
      </c>
      <c r="F54">
        <v>11639267</v>
      </c>
      <c r="G54" t="s">
        <v>145</v>
      </c>
      <c r="H54">
        <v>2890000000</v>
      </c>
      <c r="I54">
        <f t="shared" si="0"/>
        <v>2.1850526926423666E-2</v>
      </c>
      <c r="J54" s="84">
        <f t="shared" si="1"/>
        <v>7.4947307357633303E-4</v>
      </c>
      <c r="K54" t="str">
        <f t="shared" si="2"/>
        <v>Up to $10</v>
      </c>
    </row>
    <row r="55" spans="1:11" x14ac:dyDescent="0.35">
      <c r="A55" t="s">
        <v>78</v>
      </c>
      <c r="B55" t="s">
        <v>79</v>
      </c>
      <c r="C55">
        <v>0.1489</v>
      </c>
      <c r="D55">
        <v>3.0000000000000001E-3</v>
      </c>
      <c r="E55">
        <v>65371126</v>
      </c>
      <c r="F55">
        <v>789243</v>
      </c>
      <c r="G55" t="s">
        <v>144</v>
      </c>
      <c r="H55">
        <v>438770000</v>
      </c>
      <c r="I55">
        <f t="shared" si="0"/>
        <v>0.14845463609172485</v>
      </c>
      <c r="J55" s="84">
        <f t="shared" si="1"/>
        <v>4.4536390827515371E-4</v>
      </c>
      <c r="K55" t="str">
        <f t="shared" si="2"/>
        <v>Up to $10</v>
      </c>
    </row>
    <row r="56" spans="1:11" x14ac:dyDescent="0.35">
      <c r="A56" t="s">
        <v>186</v>
      </c>
      <c r="B56" t="s">
        <v>187</v>
      </c>
      <c r="C56">
        <v>3.56</v>
      </c>
      <c r="D56">
        <v>5.4000000000000003E-3</v>
      </c>
      <c r="E56">
        <v>65311608</v>
      </c>
      <c r="F56">
        <v>15229544</v>
      </c>
      <c r="G56" t="s">
        <v>145</v>
      </c>
      <c r="H56">
        <v>18310000</v>
      </c>
      <c r="I56">
        <f t="shared" si="0"/>
        <v>3.5408792520389891</v>
      </c>
      <c r="J56" s="84">
        <f t="shared" si="1"/>
        <v>1.9120747961010931E-2</v>
      </c>
      <c r="K56" t="str">
        <f t="shared" si="2"/>
        <v>Up to $10</v>
      </c>
    </row>
    <row r="57" spans="1:11" x14ac:dyDescent="0.35">
      <c r="A57" t="s">
        <v>188</v>
      </c>
      <c r="B57" t="s">
        <v>189</v>
      </c>
      <c r="C57">
        <v>0.16170000000000001</v>
      </c>
      <c r="D57">
        <v>9.5999999999999992E-3</v>
      </c>
      <c r="E57">
        <v>64581629</v>
      </c>
      <c r="F57">
        <v>6074209</v>
      </c>
      <c r="G57" t="s">
        <v>145</v>
      </c>
      <c r="H57">
        <v>399310000</v>
      </c>
      <c r="I57">
        <f t="shared" si="0"/>
        <v>0.16016244057052298</v>
      </c>
      <c r="J57" s="84">
        <f t="shared" si="1"/>
        <v>1.5375594294770312E-3</v>
      </c>
      <c r="K57" t="str">
        <f t="shared" si="2"/>
        <v>Up to $10</v>
      </c>
    </row>
    <row r="58" spans="1:11" x14ac:dyDescent="0.35">
      <c r="A58" t="s">
        <v>190</v>
      </c>
      <c r="B58" t="s">
        <v>191</v>
      </c>
      <c r="C58">
        <v>80.22</v>
      </c>
      <c r="D58">
        <v>0</v>
      </c>
      <c r="E58">
        <v>64458178</v>
      </c>
      <c r="F58">
        <v>680</v>
      </c>
      <c r="G58" t="s">
        <v>145</v>
      </c>
      <c r="H58">
        <v>803510</v>
      </c>
      <c r="I58">
        <f t="shared" si="0"/>
        <v>80.22</v>
      </c>
      <c r="J58" s="84">
        <f t="shared" si="1"/>
        <v>0</v>
      </c>
      <c r="K58" t="str">
        <f t="shared" si="2"/>
        <v>&gt;= $10</v>
      </c>
    </row>
    <row r="59" spans="1:11" x14ac:dyDescent="0.35">
      <c r="A59" t="s">
        <v>192</v>
      </c>
      <c r="B59" t="s">
        <v>193</v>
      </c>
      <c r="C59">
        <v>1.12E-2</v>
      </c>
      <c r="D59">
        <v>5.4999999999999997E-3</v>
      </c>
      <c r="E59">
        <v>64401807</v>
      </c>
      <c r="F59">
        <v>24722387</v>
      </c>
      <c r="G59" t="s">
        <v>144</v>
      </c>
      <c r="H59">
        <v>5750000000</v>
      </c>
      <c r="I59">
        <f t="shared" si="0"/>
        <v>1.1138736946792639E-2</v>
      </c>
      <c r="J59" s="84">
        <f t="shared" si="1"/>
        <v>6.1263053207361029E-5</v>
      </c>
      <c r="K59" t="str">
        <f t="shared" si="2"/>
        <v>Up to $10</v>
      </c>
    </row>
    <row r="60" spans="1:11" x14ac:dyDescent="0.35">
      <c r="A60" t="s">
        <v>194</v>
      </c>
      <c r="B60" t="s">
        <v>195</v>
      </c>
      <c r="C60">
        <v>4.1399999999999999E-2</v>
      </c>
      <c r="D60">
        <v>1.8E-3</v>
      </c>
      <c r="E60">
        <v>48952469</v>
      </c>
      <c r="F60">
        <v>7896120</v>
      </c>
      <c r="G60" t="s">
        <v>145</v>
      </c>
      <c r="H60">
        <v>1180000000</v>
      </c>
      <c r="I60">
        <f t="shared" si="0"/>
        <v>4.1325613894989018E-2</v>
      </c>
      <c r="J60" s="84">
        <f t="shared" si="1"/>
        <v>7.4386105010981751E-5</v>
      </c>
      <c r="K60" t="str">
        <f t="shared" si="2"/>
        <v>Up to $10</v>
      </c>
    </row>
    <row r="61" spans="1:11" x14ac:dyDescent="0.35">
      <c r="A61" t="s">
        <v>196</v>
      </c>
      <c r="B61" t="s">
        <v>197</v>
      </c>
      <c r="C61">
        <v>80.5</v>
      </c>
      <c r="D61">
        <v>0</v>
      </c>
      <c r="E61">
        <v>48945358</v>
      </c>
      <c r="F61">
        <v>380</v>
      </c>
      <c r="G61" t="s">
        <v>145</v>
      </c>
      <c r="H61">
        <v>608010</v>
      </c>
      <c r="I61">
        <f t="shared" si="0"/>
        <v>80.5</v>
      </c>
      <c r="J61" s="84">
        <f t="shared" si="1"/>
        <v>0</v>
      </c>
      <c r="K61" t="str">
        <f t="shared" si="2"/>
        <v>&gt;= $10</v>
      </c>
    </row>
    <row r="62" spans="1:11" x14ac:dyDescent="0.35">
      <c r="A62" t="s">
        <v>198</v>
      </c>
      <c r="B62" t="s">
        <v>199</v>
      </c>
      <c r="C62">
        <v>74.400000000000006</v>
      </c>
      <c r="D62">
        <v>9.4999999999999998E-3</v>
      </c>
      <c r="E62">
        <v>48783089</v>
      </c>
      <c r="F62">
        <v>17532</v>
      </c>
      <c r="G62" t="s">
        <v>145</v>
      </c>
      <c r="H62">
        <v>655670</v>
      </c>
      <c r="I62">
        <f t="shared" si="0"/>
        <v>73.69985141158989</v>
      </c>
      <c r="J62" s="84">
        <f t="shared" si="1"/>
        <v>0.70014858841011574</v>
      </c>
      <c r="K62" t="str">
        <f t="shared" si="2"/>
        <v>&gt;= $10</v>
      </c>
    </row>
    <row r="63" spans="1:11" x14ac:dyDescent="0.35">
      <c r="A63" t="s">
        <v>200</v>
      </c>
      <c r="B63" t="s">
        <v>201</v>
      </c>
      <c r="C63">
        <v>2.0000000000000001E-4</v>
      </c>
      <c r="D63">
        <v>6.6E-3</v>
      </c>
      <c r="E63">
        <v>48767797</v>
      </c>
      <c r="F63">
        <v>985843</v>
      </c>
      <c r="G63" t="s">
        <v>144</v>
      </c>
      <c r="H63">
        <v>282560000000</v>
      </c>
      <c r="I63">
        <f t="shared" si="0"/>
        <v>1.986886548778065E-4</v>
      </c>
      <c r="J63" s="84">
        <f t="shared" si="1"/>
        <v>1.3113451221935068E-6</v>
      </c>
      <c r="K63" t="str">
        <f t="shared" si="2"/>
        <v>Up to $10</v>
      </c>
    </row>
    <row r="64" spans="1:11" x14ac:dyDescent="0.35">
      <c r="A64" t="s">
        <v>202</v>
      </c>
      <c r="B64" t="s">
        <v>203</v>
      </c>
      <c r="C64">
        <v>0.1699</v>
      </c>
      <c r="D64">
        <v>1.1000000000000001E-3</v>
      </c>
      <c r="E64">
        <v>48740328</v>
      </c>
      <c r="F64">
        <v>15422449</v>
      </c>
      <c r="G64" t="s">
        <v>144</v>
      </c>
      <c r="H64">
        <v>286830000</v>
      </c>
      <c r="I64">
        <f t="shared" si="0"/>
        <v>0.16971331535311154</v>
      </c>
      <c r="J64" s="84">
        <f t="shared" si="1"/>
        <v>1.8668464688845199E-4</v>
      </c>
      <c r="K64" t="str">
        <f t="shared" si="2"/>
        <v>Up to $10</v>
      </c>
    </row>
    <row r="65" spans="1:11" x14ac:dyDescent="0.35">
      <c r="A65" t="s">
        <v>204</v>
      </c>
      <c r="B65" t="s">
        <v>205</v>
      </c>
      <c r="C65">
        <v>3.13</v>
      </c>
      <c r="D65">
        <v>0</v>
      </c>
      <c r="E65">
        <v>48697028</v>
      </c>
      <c r="F65">
        <v>2438</v>
      </c>
      <c r="G65" t="s">
        <v>145</v>
      </c>
      <c r="H65">
        <v>15550000</v>
      </c>
      <c r="I65">
        <f t="shared" si="0"/>
        <v>3.13</v>
      </c>
      <c r="J65" s="84">
        <f t="shared" si="1"/>
        <v>0</v>
      </c>
      <c r="K65" t="str">
        <f t="shared" si="2"/>
        <v>Up to $10</v>
      </c>
    </row>
    <row r="66" spans="1:11" x14ac:dyDescent="0.35">
      <c r="A66" t="s">
        <v>206</v>
      </c>
      <c r="B66" t="s">
        <v>207</v>
      </c>
      <c r="C66">
        <v>5.5999999999999999E-3</v>
      </c>
      <c r="D66">
        <v>1.1000000000000001E-3</v>
      </c>
      <c r="E66">
        <v>48455448</v>
      </c>
      <c r="F66">
        <v>6358343</v>
      </c>
      <c r="G66" t="s">
        <v>144</v>
      </c>
      <c r="H66">
        <v>8700000000</v>
      </c>
      <c r="I66">
        <f t="shared" ref="I66:I129" si="3">C66/(1+D66)</f>
        <v>5.5938467685545893E-3</v>
      </c>
      <c r="J66" s="84">
        <f t="shared" ref="J66:J129" si="4">C66-I66</f>
        <v>6.153231445410641E-6</v>
      </c>
      <c r="K66" t="str">
        <f t="shared" ref="K66:K129" si="5">IF(C66&lt;10,"Up to $10","&gt;= $10")</f>
        <v>Up to $10</v>
      </c>
    </row>
    <row r="67" spans="1:11" x14ac:dyDescent="0.35">
      <c r="A67" t="s">
        <v>208</v>
      </c>
      <c r="B67" t="s">
        <v>209</v>
      </c>
      <c r="C67">
        <v>6.2399999999999997E-2</v>
      </c>
      <c r="D67">
        <v>1E-4</v>
      </c>
      <c r="E67">
        <v>48212985</v>
      </c>
      <c r="F67">
        <v>7637657</v>
      </c>
      <c r="G67" t="s">
        <v>145</v>
      </c>
      <c r="H67">
        <v>772400000</v>
      </c>
      <c r="I67">
        <f t="shared" si="3"/>
        <v>6.2393760623937602E-2</v>
      </c>
      <c r="J67" s="84">
        <f t="shared" si="4"/>
        <v>6.2393760623946637E-6</v>
      </c>
      <c r="K67" t="str">
        <f t="shared" si="5"/>
        <v>Up to $10</v>
      </c>
    </row>
    <row r="68" spans="1:11" x14ac:dyDescent="0.35">
      <c r="A68" t="s">
        <v>210</v>
      </c>
      <c r="B68" t="s">
        <v>211</v>
      </c>
      <c r="C68">
        <v>8.8700000000000001E-2</v>
      </c>
      <c r="D68">
        <v>3.0000000000000001E-3</v>
      </c>
      <c r="E68">
        <v>47938768</v>
      </c>
      <c r="F68">
        <v>6086708</v>
      </c>
      <c r="G68" t="s">
        <v>144</v>
      </c>
      <c r="H68">
        <v>540650000</v>
      </c>
      <c r="I68">
        <f t="shared" si="3"/>
        <v>8.8434695912263217E-2</v>
      </c>
      <c r="J68" s="84">
        <f t="shared" si="4"/>
        <v>2.6530408773678404E-4</v>
      </c>
      <c r="K68" t="str">
        <f t="shared" si="5"/>
        <v>Up to $10</v>
      </c>
    </row>
    <row r="69" spans="1:11" x14ac:dyDescent="0.35">
      <c r="A69" t="s">
        <v>212</v>
      </c>
      <c r="B69" t="s">
        <v>213</v>
      </c>
      <c r="C69">
        <v>4297.6899999999996</v>
      </c>
      <c r="D69">
        <v>2.2000000000000001E-3</v>
      </c>
      <c r="E69">
        <v>48139273</v>
      </c>
      <c r="F69">
        <v>976085</v>
      </c>
      <c r="G69" t="s">
        <v>145</v>
      </c>
      <c r="H69">
        <v>11200</v>
      </c>
      <c r="I69">
        <f t="shared" si="3"/>
        <v>4288.2558371582518</v>
      </c>
      <c r="J69" s="84">
        <f t="shared" si="4"/>
        <v>9.4341628417478205</v>
      </c>
      <c r="K69" t="str">
        <f t="shared" si="5"/>
        <v>&gt;= $10</v>
      </c>
    </row>
    <row r="70" spans="1:11" x14ac:dyDescent="0.35">
      <c r="A70" t="s">
        <v>214</v>
      </c>
      <c r="B70" t="s">
        <v>215</v>
      </c>
      <c r="C70">
        <v>4.1999999999999997E-3</v>
      </c>
      <c r="D70">
        <v>1.54E-2</v>
      </c>
      <c r="E70">
        <v>48119901</v>
      </c>
      <c r="F70">
        <v>5545498</v>
      </c>
      <c r="G70" t="s">
        <v>145</v>
      </c>
      <c r="H70">
        <v>11490000000</v>
      </c>
      <c r="I70">
        <f t="shared" si="3"/>
        <v>4.1363009651368913E-3</v>
      </c>
      <c r="J70" s="84">
        <f t="shared" si="4"/>
        <v>6.3699034863108454E-5</v>
      </c>
      <c r="K70" t="str">
        <f t="shared" si="5"/>
        <v>Up to $10</v>
      </c>
    </row>
    <row r="71" spans="1:11" x14ac:dyDescent="0.35">
      <c r="A71" t="s">
        <v>216</v>
      </c>
      <c r="B71" t="s">
        <v>217</v>
      </c>
      <c r="C71">
        <v>0.23980000000000001</v>
      </c>
      <c r="D71">
        <v>4.9399999999999999E-2</v>
      </c>
      <c r="E71">
        <v>48090384</v>
      </c>
      <c r="F71">
        <v>141536591</v>
      </c>
      <c r="G71" t="s">
        <v>145</v>
      </c>
      <c r="H71">
        <v>200500000</v>
      </c>
      <c r="I71">
        <f t="shared" si="3"/>
        <v>0.22851153039832289</v>
      </c>
      <c r="J71" s="84">
        <f t="shared" si="4"/>
        <v>1.128846960167712E-2</v>
      </c>
      <c r="K71" t="str">
        <f t="shared" si="5"/>
        <v>Up to $10</v>
      </c>
    </row>
    <row r="72" spans="1:11" x14ac:dyDescent="0.35">
      <c r="A72" t="s">
        <v>218</v>
      </c>
      <c r="B72" t="s">
        <v>219</v>
      </c>
      <c r="C72">
        <v>6.2199999999999998E-2</v>
      </c>
      <c r="D72">
        <v>1.06E-2</v>
      </c>
      <c r="E72">
        <v>47866357</v>
      </c>
      <c r="F72">
        <v>1720458</v>
      </c>
      <c r="G72" t="s">
        <v>145</v>
      </c>
      <c r="H72">
        <v>770000000</v>
      </c>
      <c r="I72">
        <f t="shared" si="3"/>
        <v>6.1547595487829017E-2</v>
      </c>
      <c r="J72" s="84">
        <f t="shared" si="4"/>
        <v>6.524045121709815E-4</v>
      </c>
      <c r="K72" t="str">
        <f t="shared" si="5"/>
        <v>Up to $10</v>
      </c>
    </row>
    <row r="73" spans="1:11" x14ac:dyDescent="0.35">
      <c r="A73" t="s">
        <v>220</v>
      </c>
      <c r="B73" t="s">
        <v>221</v>
      </c>
      <c r="C73">
        <v>0.1376</v>
      </c>
      <c r="D73">
        <v>5.4999999999999997E-3</v>
      </c>
      <c r="E73">
        <v>47690084</v>
      </c>
      <c r="F73">
        <v>48669769</v>
      </c>
      <c r="G73" t="s">
        <v>145</v>
      </c>
      <c r="H73">
        <v>346460000</v>
      </c>
      <c r="I73">
        <f t="shared" si="3"/>
        <v>0.13684733963202386</v>
      </c>
      <c r="J73" s="84">
        <f t="shared" si="4"/>
        <v>7.5266036797613789E-4</v>
      </c>
      <c r="K73" t="str">
        <f t="shared" si="5"/>
        <v>Up to $10</v>
      </c>
    </row>
    <row r="74" spans="1:11" x14ac:dyDescent="0.35">
      <c r="A74" t="s">
        <v>222</v>
      </c>
      <c r="B74" t="s">
        <v>223</v>
      </c>
      <c r="C74">
        <v>5.0000000000000001E-4</v>
      </c>
      <c r="D74">
        <v>6.3E-3</v>
      </c>
      <c r="E74">
        <v>47484528</v>
      </c>
      <c r="F74">
        <v>8718804</v>
      </c>
      <c r="G74" t="s">
        <v>145</v>
      </c>
      <c r="H74">
        <v>86780000000</v>
      </c>
      <c r="I74">
        <f t="shared" si="3"/>
        <v>4.96869720759217E-4</v>
      </c>
      <c r="J74" s="84">
        <f t="shared" si="4"/>
        <v>3.1302792407830087E-6</v>
      </c>
      <c r="K74" t="str">
        <f t="shared" si="5"/>
        <v>Up to $10</v>
      </c>
    </row>
    <row r="75" spans="1:11" x14ac:dyDescent="0.35">
      <c r="A75" t="s">
        <v>224</v>
      </c>
      <c r="B75" t="s">
        <v>225</v>
      </c>
      <c r="C75">
        <v>0.18240000000000001</v>
      </c>
      <c r="D75">
        <v>3.7000000000000002E-3</v>
      </c>
      <c r="E75">
        <v>35571971</v>
      </c>
      <c r="F75">
        <v>11440117</v>
      </c>
      <c r="G75" t="s">
        <v>145</v>
      </c>
      <c r="H75">
        <v>195000000</v>
      </c>
      <c r="I75">
        <f t="shared" si="3"/>
        <v>0.18172760785095149</v>
      </c>
      <c r="J75" s="84">
        <f t="shared" si="4"/>
        <v>6.7239214904851741E-4</v>
      </c>
      <c r="K75" t="str">
        <f t="shared" si="5"/>
        <v>Up to $10</v>
      </c>
    </row>
    <row r="76" spans="1:11" x14ac:dyDescent="0.35">
      <c r="A76" t="s">
        <v>226</v>
      </c>
      <c r="B76" t="s">
        <v>227</v>
      </c>
      <c r="C76">
        <v>0.99960000000000004</v>
      </c>
      <c r="D76">
        <v>5.9999999999999995E-4</v>
      </c>
      <c r="E76">
        <v>35541504</v>
      </c>
      <c r="F76">
        <v>964372</v>
      </c>
      <c r="G76" t="s">
        <v>144</v>
      </c>
      <c r="H76">
        <v>35550000</v>
      </c>
      <c r="I76">
        <f t="shared" si="3"/>
        <v>0.99900059964021604</v>
      </c>
      <c r="J76" s="84">
        <f t="shared" si="4"/>
        <v>5.9940035978400807E-4</v>
      </c>
      <c r="K76" t="str">
        <f t="shared" si="5"/>
        <v>Up to $10</v>
      </c>
    </row>
    <row r="77" spans="1:11" x14ac:dyDescent="0.35">
      <c r="A77" t="s">
        <v>228</v>
      </c>
      <c r="B77" t="s">
        <v>229</v>
      </c>
      <c r="C77">
        <v>5.9999999999999995E-4</v>
      </c>
      <c r="D77">
        <v>1.9E-3</v>
      </c>
      <c r="E77">
        <v>35282668</v>
      </c>
      <c r="F77">
        <v>153322722</v>
      </c>
      <c r="G77" t="s">
        <v>145</v>
      </c>
      <c r="H77">
        <v>63510000000</v>
      </c>
      <c r="I77">
        <f t="shared" si="3"/>
        <v>5.9886216189240435E-4</v>
      </c>
      <c r="J77" s="84">
        <f t="shared" si="4"/>
        <v>1.1378381075955986E-6</v>
      </c>
      <c r="K77" t="str">
        <f t="shared" si="5"/>
        <v>Up to $10</v>
      </c>
    </row>
    <row r="78" spans="1:11" x14ac:dyDescent="0.35">
      <c r="A78" t="s">
        <v>230</v>
      </c>
      <c r="B78" t="s">
        <v>231</v>
      </c>
      <c r="C78">
        <v>9.2200000000000006</v>
      </c>
      <c r="D78">
        <v>9.7000000000000003E-3</v>
      </c>
      <c r="E78">
        <v>35242668</v>
      </c>
      <c r="F78">
        <v>92643</v>
      </c>
      <c r="G78" t="s">
        <v>144</v>
      </c>
      <c r="H78">
        <v>3810000</v>
      </c>
      <c r="I78">
        <f t="shared" si="3"/>
        <v>9.1314251757947904</v>
      </c>
      <c r="J78" s="84">
        <f t="shared" si="4"/>
        <v>8.8574824205210234E-2</v>
      </c>
      <c r="K78" t="str">
        <f t="shared" si="5"/>
        <v>Up to $10</v>
      </c>
    </row>
    <row r="79" spans="1:11" x14ac:dyDescent="0.35">
      <c r="A79" t="s">
        <v>232</v>
      </c>
      <c r="B79" t="s">
        <v>233</v>
      </c>
      <c r="C79">
        <v>145.52000000000001</v>
      </c>
      <c r="D79">
        <v>0</v>
      </c>
      <c r="E79">
        <v>35190489</v>
      </c>
      <c r="F79">
        <v>296</v>
      </c>
      <c r="G79" t="s">
        <v>145</v>
      </c>
      <c r="H79">
        <v>241810</v>
      </c>
      <c r="I79">
        <f t="shared" si="3"/>
        <v>145.52000000000001</v>
      </c>
      <c r="J79" s="84">
        <f t="shared" si="4"/>
        <v>0</v>
      </c>
      <c r="K79" t="str">
        <f t="shared" si="5"/>
        <v>&gt;= $10</v>
      </c>
    </row>
    <row r="80" spans="1:11" x14ac:dyDescent="0.35">
      <c r="A80" t="s">
        <v>234</v>
      </c>
      <c r="B80" t="s">
        <v>139</v>
      </c>
      <c r="C80">
        <v>0.34860000000000002</v>
      </c>
      <c r="D80">
        <v>4.7999999999999996E-3</v>
      </c>
      <c r="E80">
        <v>34868018</v>
      </c>
      <c r="F80">
        <v>24332761</v>
      </c>
      <c r="G80" t="s">
        <v>145</v>
      </c>
      <c r="H80">
        <v>100000000</v>
      </c>
      <c r="I80">
        <f t="shared" si="3"/>
        <v>0.34693471337579623</v>
      </c>
      <c r="J80" s="84">
        <f t="shared" si="4"/>
        <v>1.6652866242037878E-3</v>
      </c>
      <c r="K80" t="str">
        <f t="shared" si="5"/>
        <v>Up to $10</v>
      </c>
    </row>
    <row r="81" spans="1:11" x14ac:dyDescent="0.35">
      <c r="A81" t="s">
        <v>235</v>
      </c>
      <c r="B81" t="s">
        <v>236</v>
      </c>
      <c r="C81">
        <v>4.9099999999999998E-2</v>
      </c>
      <c r="D81">
        <v>5.7000000000000002E-3</v>
      </c>
      <c r="E81">
        <v>34850619</v>
      </c>
      <c r="F81">
        <v>13466730</v>
      </c>
      <c r="G81" t="s">
        <v>144</v>
      </c>
      <c r="H81">
        <v>709980000</v>
      </c>
      <c r="I81">
        <f t="shared" si="3"/>
        <v>4.8821716217559902E-2</v>
      </c>
      <c r="J81" s="84">
        <f t="shared" si="4"/>
        <v>2.7828378244009605E-4</v>
      </c>
      <c r="K81" t="str">
        <f t="shared" si="5"/>
        <v>Up to $10</v>
      </c>
    </row>
    <row r="82" spans="1:11" x14ac:dyDescent="0.35">
      <c r="A82" t="s">
        <v>237</v>
      </c>
      <c r="B82" t="s">
        <v>238</v>
      </c>
      <c r="C82">
        <v>287.52999999999997</v>
      </c>
      <c r="D82">
        <v>0</v>
      </c>
      <c r="E82">
        <v>34702682</v>
      </c>
      <c r="F82">
        <v>2098</v>
      </c>
      <c r="G82" t="s">
        <v>145</v>
      </c>
      <c r="H82">
        <v>120680</v>
      </c>
      <c r="I82">
        <f t="shared" si="3"/>
        <v>287.52999999999997</v>
      </c>
      <c r="J82" s="84">
        <f t="shared" si="4"/>
        <v>0</v>
      </c>
      <c r="K82" t="str">
        <f t="shared" si="5"/>
        <v>&gt;= $10</v>
      </c>
    </row>
    <row r="83" spans="1:11" x14ac:dyDescent="0.35">
      <c r="A83" t="s">
        <v>80</v>
      </c>
      <c r="B83" t="s">
        <v>81</v>
      </c>
      <c r="C83">
        <v>0.97740000000000005</v>
      </c>
      <c r="D83">
        <v>1.5E-3</v>
      </c>
      <c r="E83">
        <v>34660676</v>
      </c>
      <c r="F83">
        <v>126253</v>
      </c>
      <c r="G83" t="s">
        <v>145</v>
      </c>
      <c r="H83">
        <v>35460000</v>
      </c>
      <c r="I83">
        <f t="shared" si="3"/>
        <v>0.97593609585621566</v>
      </c>
      <c r="J83" s="84">
        <f t="shared" si="4"/>
        <v>1.4639041437843892E-3</v>
      </c>
      <c r="K83" t="str">
        <f t="shared" si="5"/>
        <v>Up to $10</v>
      </c>
    </row>
    <row r="84" spans="1:11" x14ac:dyDescent="0.35">
      <c r="A84" t="s">
        <v>239</v>
      </c>
      <c r="B84" t="s">
        <v>240</v>
      </c>
      <c r="C84">
        <v>53.22</v>
      </c>
      <c r="D84">
        <v>0</v>
      </c>
      <c r="E84">
        <v>34637276</v>
      </c>
      <c r="F84">
        <v>261</v>
      </c>
      <c r="G84" t="s">
        <v>144</v>
      </c>
      <c r="H84">
        <v>650740</v>
      </c>
      <c r="I84">
        <f t="shared" si="3"/>
        <v>53.22</v>
      </c>
      <c r="J84" s="84">
        <f t="shared" si="4"/>
        <v>0</v>
      </c>
      <c r="K84" t="str">
        <f t="shared" si="5"/>
        <v>&gt;= $10</v>
      </c>
    </row>
    <row r="85" spans="1:11" x14ac:dyDescent="0.35">
      <c r="A85" t="s">
        <v>82</v>
      </c>
      <c r="B85" t="s">
        <v>83</v>
      </c>
      <c r="C85">
        <v>0.10150000000000001</v>
      </c>
      <c r="D85">
        <v>2.3E-3</v>
      </c>
      <c r="E85">
        <v>34482045</v>
      </c>
      <c r="F85">
        <v>663357</v>
      </c>
      <c r="G85" t="s">
        <v>145</v>
      </c>
      <c r="H85">
        <v>339710000</v>
      </c>
      <c r="I85">
        <f t="shared" si="3"/>
        <v>0.10126708570288338</v>
      </c>
      <c r="J85" s="84">
        <f t="shared" si="4"/>
        <v>2.329142971166237E-4</v>
      </c>
      <c r="K85" t="str">
        <f t="shared" si="5"/>
        <v>Up to $10</v>
      </c>
    </row>
    <row r="86" spans="1:11" x14ac:dyDescent="0.35">
      <c r="A86" t="s">
        <v>84</v>
      </c>
      <c r="B86" t="s">
        <v>85</v>
      </c>
      <c r="C86">
        <v>4.0300000000000002E-2</v>
      </c>
      <c r="D86">
        <v>5.0000000000000001E-3</v>
      </c>
      <c r="E86">
        <v>34371708</v>
      </c>
      <c r="F86">
        <v>3227641</v>
      </c>
      <c r="G86" t="s">
        <v>145</v>
      </c>
      <c r="H86">
        <v>851870000</v>
      </c>
      <c r="I86">
        <f t="shared" si="3"/>
        <v>4.0099502487562194E-2</v>
      </c>
      <c r="J86" s="84">
        <f t="shared" si="4"/>
        <v>2.0049751243780833E-4</v>
      </c>
      <c r="K86" t="str">
        <f t="shared" si="5"/>
        <v>Up to $10</v>
      </c>
    </row>
    <row r="87" spans="1:11" x14ac:dyDescent="0.35">
      <c r="A87" t="s">
        <v>241</v>
      </c>
      <c r="B87" t="s">
        <v>242</v>
      </c>
      <c r="C87">
        <v>1.1499999999999999</v>
      </c>
      <c r="D87">
        <v>0</v>
      </c>
      <c r="E87">
        <v>34343871</v>
      </c>
      <c r="F87">
        <v>2365</v>
      </c>
      <c r="G87" t="s">
        <v>145</v>
      </c>
      <c r="H87">
        <v>29820000</v>
      </c>
      <c r="I87">
        <f t="shared" si="3"/>
        <v>1.1499999999999999</v>
      </c>
      <c r="J87" s="84">
        <f t="shared" si="4"/>
        <v>0</v>
      </c>
      <c r="K87" t="str">
        <f t="shared" si="5"/>
        <v>Up to $10</v>
      </c>
    </row>
    <row r="88" spans="1:11" x14ac:dyDescent="0.35">
      <c r="A88" t="s">
        <v>243</v>
      </c>
      <c r="B88" t="s">
        <v>244</v>
      </c>
      <c r="C88">
        <v>270.39999999999998</v>
      </c>
      <c r="D88">
        <v>3.3E-3</v>
      </c>
      <c r="E88">
        <v>34210168</v>
      </c>
      <c r="F88">
        <v>6613197</v>
      </c>
      <c r="G88" t="s">
        <v>145</v>
      </c>
      <c r="H88">
        <v>126510</v>
      </c>
      <c r="I88">
        <f t="shared" si="3"/>
        <v>269.51061497059698</v>
      </c>
      <c r="J88" s="84">
        <f t="shared" si="4"/>
        <v>0.88938502940300168</v>
      </c>
      <c r="K88" t="str">
        <f t="shared" si="5"/>
        <v>&gt;= $10</v>
      </c>
    </row>
    <row r="89" spans="1:11" x14ac:dyDescent="0.35">
      <c r="A89" t="s">
        <v>245</v>
      </c>
      <c r="B89" t="s">
        <v>246</v>
      </c>
      <c r="C89">
        <v>0.1036</v>
      </c>
      <c r="D89">
        <v>3.0999999999999999E-3</v>
      </c>
      <c r="E89">
        <v>33577284</v>
      </c>
      <c r="F89">
        <v>17174665</v>
      </c>
      <c r="G89" t="s">
        <v>145</v>
      </c>
      <c r="H89">
        <v>323950000</v>
      </c>
      <c r="I89">
        <f t="shared" si="3"/>
        <v>0.1032798325191905</v>
      </c>
      <c r="J89" s="84">
        <f t="shared" si="4"/>
        <v>3.2016748080949953E-4</v>
      </c>
      <c r="K89" t="str">
        <f t="shared" si="5"/>
        <v>Up to $10</v>
      </c>
    </row>
    <row r="90" spans="1:11" x14ac:dyDescent="0.35">
      <c r="A90" t="s">
        <v>247</v>
      </c>
      <c r="B90" t="s">
        <v>248</v>
      </c>
      <c r="C90">
        <v>1.43E-2</v>
      </c>
      <c r="D90">
        <v>7.1000000000000004E-3</v>
      </c>
      <c r="E90">
        <v>27447371</v>
      </c>
      <c r="F90">
        <v>10114476</v>
      </c>
      <c r="G90" t="s">
        <v>144</v>
      </c>
      <c r="H90">
        <v>1920000000</v>
      </c>
      <c r="I90">
        <f t="shared" si="3"/>
        <v>1.4199185780955217E-2</v>
      </c>
      <c r="J90" s="84">
        <f t="shared" si="4"/>
        <v>1.0081421904478347E-4</v>
      </c>
      <c r="K90" t="str">
        <f t="shared" si="5"/>
        <v>Up to $10</v>
      </c>
    </row>
    <row r="91" spans="1:11" x14ac:dyDescent="0.35">
      <c r="A91" t="s">
        <v>249</v>
      </c>
      <c r="B91" t="s">
        <v>249</v>
      </c>
      <c r="C91">
        <v>9.5999999999999992E-3</v>
      </c>
      <c r="D91">
        <v>1.4E-3</v>
      </c>
      <c r="E91">
        <v>27409112</v>
      </c>
      <c r="F91">
        <v>7348247</v>
      </c>
      <c r="G91" t="s">
        <v>144</v>
      </c>
      <c r="H91">
        <v>2860000000</v>
      </c>
      <c r="I91">
        <f t="shared" si="3"/>
        <v>9.5865787896944263E-3</v>
      </c>
      <c r="J91" s="84">
        <f t="shared" si="4"/>
        <v>1.3421210305572875E-5</v>
      </c>
      <c r="K91" t="str">
        <f t="shared" si="5"/>
        <v>Up to $10</v>
      </c>
    </row>
    <row r="92" spans="1:11" x14ac:dyDescent="0.35">
      <c r="A92" t="s">
        <v>250</v>
      </c>
      <c r="B92" t="s">
        <v>251</v>
      </c>
      <c r="C92">
        <v>0.21240000000000001</v>
      </c>
      <c r="D92">
        <v>3.3399999999999999E-2</v>
      </c>
      <c r="E92">
        <v>27426748</v>
      </c>
      <c r="F92">
        <v>20181798</v>
      </c>
      <c r="G92" t="s">
        <v>144</v>
      </c>
      <c r="H92">
        <v>129100000</v>
      </c>
      <c r="I92">
        <f t="shared" si="3"/>
        <v>0.20553512676601507</v>
      </c>
      <c r="J92" s="84">
        <f t="shared" si="4"/>
        <v>6.8648732339849361E-3</v>
      </c>
      <c r="K92" t="str">
        <f t="shared" si="5"/>
        <v>Up to $10</v>
      </c>
    </row>
    <row r="93" spans="1:11" x14ac:dyDescent="0.35">
      <c r="A93" t="s">
        <v>252</v>
      </c>
      <c r="B93" t="s">
        <v>252</v>
      </c>
      <c r="C93">
        <v>2.4899999999999999E-2</v>
      </c>
      <c r="D93">
        <v>2.2000000000000001E-3</v>
      </c>
      <c r="E93">
        <v>27414034</v>
      </c>
      <c r="F93">
        <v>717113</v>
      </c>
      <c r="G93" t="s">
        <v>144</v>
      </c>
      <c r="H93">
        <v>1090000000</v>
      </c>
      <c r="I93">
        <f t="shared" si="3"/>
        <v>2.4845340251446815E-2</v>
      </c>
      <c r="J93" s="84">
        <f t="shared" si="4"/>
        <v>5.4659748553183285E-5</v>
      </c>
      <c r="K93" t="str">
        <f t="shared" si="5"/>
        <v>Up to $10</v>
      </c>
    </row>
    <row r="94" spans="1:11" x14ac:dyDescent="0.35">
      <c r="A94" t="s">
        <v>253</v>
      </c>
      <c r="B94" t="s">
        <v>254</v>
      </c>
      <c r="C94">
        <v>4.82E-2</v>
      </c>
      <c r="D94">
        <v>2E-3</v>
      </c>
      <c r="E94">
        <v>27358116</v>
      </c>
      <c r="F94">
        <v>5196628</v>
      </c>
      <c r="G94" t="s">
        <v>145</v>
      </c>
      <c r="H94">
        <v>568130000</v>
      </c>
      <c r="I94">
        <f t="shared" si="3"/>
        <v>4.8103792415169662E-2</v>
      </c>
      <c r="J94" s="84">
        <f t="shared" si="4"/>
        <v>9.6207584830337867E-5</v>
      </c>
      <c r="K94" t="str">
        <f t="shared" si="5"/>
        <v>Up to $10</v>
      </c>
    </row>
    <row r="95" spans="1:11" x14ac:dyDescent="0.35">
      <c r="A95" t="s">
        <v>255</v>
      </c>
      <c r="B95" t="s">
        <v>256</v>
      </c>
      <c r="C95">
        <v>4.7000000000000002E-3</v>
      </c>
      <c r="D95">
        <v>5.9999999999999995E-4</v>
      </c>
      <c r="E95">
        <v>27336631</v>
      </c>
      <c r="F95">
        <v>1141715</v>
      </c>
      <c r="G95" t="s">
        <v>145</v>
      </c>
      <c r="H95">
        <v>5790000000</v>
      </c>
      <c r="I95">
        <f t="shared" si="3"/>
        <v>4.6971816909854094E-3</v>
      </c>
      <c r="J95" s="84">
        <f t="shared" si="4"/>
        <v>2.8183090145907433E-6</v>
      </c>
      <c r="K95" t="str">
        <f t="shared" si="5"/>
        <v>Up to $10</v>
      </c>
    </row>
    <row r="96" spans="1:11" x14ac:dyDescent="0.35">
      <c r="A96" t="s">
        <v>87</v>
      </c>
      <c r="B96" t="s">
        <v>88</v>
      </c>
      <c r="C96">
        <v>61.39</v>
      </c>
      <c r="D96">
        <v>1E-4</v>
      </c>
      <c r="E96">
        <v>27206164</v>
      </c>
      <c r="F96">
        <v>5734871</v>
      </c>
      <c r="G96" t="s">
        <v>145</v>
      </c>
      <c r="H96">
        <v>443100</v>
      </c>
      <c r="I96">
        <f t="shared" si="3"/>
        <v>61.383861613838619</v>
      </c>
      <c r="J96" s="84">
        <f t="shared" si="4"/>
        <v>6.138386161381959E-3</v>
      </c>
      <c r="K96" t="str">
        <f t="shared" si="5"/>
        <v>&gt;= $10</v>
      </c>
    </row>
    <row r="97" spans="1:11" x14ac:dyDescent="0.35">
      <c r="A97" t="s">
        <v>257</v>
      </c>
      <c r="B97" t="s">
        <v>258</v>
      </c>
      <c r="C97">
        <v>3.2000000000000002E-3</v>
      </c>
      <c r="D97">
        <v>1.0200000000000001E-2</v>
      </c>
      <c r="E97">
        <v>27190071</v>
      </c>
      <c r="F97">
        <v>7967459</v>
      </c>
      <c r="G97" t="s">
        <v>144</v>
      </c>
      <c r="H97">
        <v>8550000000.000001</v>
      </c>
      <c r="I97">
        <f t="shared" si="3"/>
        <v>3.167689566422491E-3</v>
      </c>
      <c r="J97" s="84">
        <f t="shared" si="4"/>
        <v>3.2310433577509203E-5</v>
      </c>
      <c r="K97" t="str">
        <f t="shared" si="5"/>
        <v>Up to $10</v>
      </c>
    </row>
    <row r="98" spans="1:11" x14ac:dyDescent="0.35">
      <c r="A98" t="s">
        <v>259</v>
      </c>
      <c r="B98" t="s">
        <v>259</v>
      </c>
      <c r="C98">
        <v>8.0000000000000004E-4</v>
      </c>
      <c r="D98">
        <v>3.0000000000000001E-3</v>
      </c>
      <c r="E98">
        <v>26972615</v>
      </c>
      <c r="F98">
        <v>8526974</v>
      </c>
      <c r="G98" t="s">
        <v>145</v>
      </c>
      <c r="H98">
        <v>33430000000</v>
      </c>
      <c r="I98">
        <f t="shared" si="3"/>
        <v>7.9760717846460636E-4</v>
      </c>
      <c r="J98" s="84">
        <f t="shared" si="4"/>
        <v>2.3928215353936824E-6</v>
      </c>
      <c r="K98" t="str">
        <f t="shared" si="5"/>
        <v>Up to $10</v>
      </c>
    </row>
    <row r="99" spans="1:11" x14ac:dyDescent="0.35">
      <c r="A99" t="s">
        <v>260</v>
      </c>
      <c r="B99" t="s">
        <v>261</v>
      </c>
      <c r="C99">
        <v>4.9599999999999998E-2</v>
      </c>
      <c r="D99">
        <v>1.6000000000000001E-3</v>
      </c>
      <c r="E99">
        <v>26758957</v>
      </c>
      <c r="F99">
        <v>33446308</v>
      </c>
      <c r="G99" t="s">
        <v>145</v>
      </c>
      <c r="H99">
        <v>538940000</v>
      </c>
      <c r="I99">
        <f t="shared" si="3"/>
        <v>4.9520766773162937E-2</v>
      </c>
      <c r="J99" s="84">
        <f t="shared" si="4"/>
        <v>7.9233226837061022E-5</v>
      </c>
      <c r="K99" t="str">
        <f t="shared" si="5"/>
        <v>Up to $10</v>
      </c>
    </row>
    <row r="100" spans="1:11" x14ac:dyDescent="0.35">
      <c r="A100" t="s">
        <v>262</v>
      </c>
      <c r="B100" t="s">
        <v>263</v>
      </c>
      <c r="C100">
        <v>4.3E-3</v>
      </c>
      <c r="D100">
        <v>1.6000000000000001E-3</v>
      </c>
      <c r="E100">
        <v>26557553</v>
      </c>
      <c r="F100">
        <v>11262750</v>
      </c>
      <c r="G100" t="s">
        <v>145</v>
      </c>
      <c r="H100">
        <v>6190000000</v>
      </c>
      <c r="I100">
        <f t="shared" si="3"/>
        <v>4.2931309904153349E-3</v>
      </c>
      <c r="J100" s="84">
        <f t="shared" si="4"/>
        <v>6.8690095846651519E-6</v>
      </c>
      <c r="K100" t="str">
        <f t="shared" si="5"/>
        <v>Up to $10</v>
      </c>
    </row>
    <row r="101" spans="1:11" x14ac:dyDescent="0.35">
      <c r="A101" t="s">
        <v>86</v>
      </c>
      <c r="B101" t="s">
        <v>86</v>
      </c>
      <c r="C101">
        <v>1E-3</v>
      </c>
      <c r="D101">
        <v>1E-4</v>
      </c>
      <c r="E101">
        <v>26632085</v>
      </c>
      <c r="F101">
        <v>162930</v>
      </c>
      <c r="G101" t="s">
        <v>145</v>
      </c>
      <c r="H101">
        <v>27800000000</v>
      </c>
      <c r="I101">
        <f t="shared" si="3"/>
        <v>9.9990000999900007E-4</v>
      </c>
      <c r="J101" s="84">
        <f t="shared" si="4"/>
        <v>9.9990000999947842E-8</v>
      </c>
      <c r="K101" t="str">
        <f t="shared" si="5"/>
        <v>Up to $10</v>
      </c>
    </row>
    <row r="102" spans="1:11" x14ac:dyDescent="0.35">
      <c r="A102" t="s">
        <v>264</v>
      </c>
      <c r="B102" t="s">
        <v>265</v>
      </c>
      <c r="C102">
        <v>5.1999999999999998E-3</v>
      </c>
      <c r="D102">
        <v>5.3E-3</v>
      </c>
      <c r="E102">
        <v>26477518</v>
      </c>
      <c r="F102">
        <v>14910110</v>
      </c>
      <c r="G102" t="s">
        <v>144</v>
      </c>
      <c r="H102">
        <v>5060000000</v>
      </c>
      <c r="I102">
        <f t="shared" si="3"/>
        <v>5.1725852979210181E-3</v>
      </c>
      <c r="J102" s="84">
        <f t="shared" si="4"/>
        <v>2.7414702078981668E-5</v>
      </c>
      <c r="K102" t="str">
        <f t="shared" si="5"/>
        <v>Up to $10</v>
      </c>
    </row>
    <row r="103" spans="1:11" x14ac:dyDescent="0.35">
      <c r="A103" t="s">
        <v>266</v>
      </c>
      <c r="B103" t="s">
        <v>267</v>
      </c>
      <c r="C103">
        <v>1E-4</v>
      </c>
      <c r="D103">
        <v>8.3000000000000001E-3</v>
      </c>
      <c r="E103">
        <v>26409629</v>
      </c>
      <c r="F103">
        <v>20499571</v>
      </c>
      <c r="G103" t="s">
        <v>144</v>
      </c>
      <c r="H103">
        <v>420680000000</v>
      </c>
      <c r="I103">
        <f t="shared" si="3"/>
        <v>9.9176832291976604E-5</v>
      </c>
      <c r="J103" s="84">
        <f t="shared" si="4"/>
        <v>8.2316770802340117E-7</v>
      </c>
      <c r="K103" t="str">
        <f t="shared" si="5"/>
        <v>Up to $10</v>
      </c>
    </row>
    <row r="104" spans="1:11" x14ac:dyDescent="0.35">
      <c r="A104" t="s">
        <v>268</v>
      </c>
      <c r="B104" t="s">
        <v>269</v>
      </c>
      <c r="C104">
        <v>3.1399999999999997E-2</v>
      </c>
      <c r="D104">
        <v>3.5000000000000001E-3</v>
      </c>
      <c r="E104">
        <v>26372850</v>
      </c>
      <c r="F104">
        <v>29507980</v>
      </c>
      <c r="G104" t="s">
        <v>144</v>
      </c>
      <c r="H104">
        <v>839600000</v>
      </c>
      <c r="I104">
        <f t="shared" si="3"/>
        <v>3.1290483308420526E-2</v>
      </c>
      <c r="J104" s="84">
        <f t="shared" si="4"/>
        <v>1.0951669157947125E-4</v>
      </c>
      <c r="K104" t="str">
        <f t="shared" si="5"/>
        <v>Up to $10</v>
      </c>
    </row>
    <row r="105" spans="1:11" x14ac:dyDescent="0.35">
      <c r="A105" t="s">
        <v>270</v>
      </c>
      <c r="B105" t="s">
        <v>271</v>
      </c>
      <c r="C105">
        <v>3.6700000000000003E-2</v>
      </c>
      <c r="D105">
        <v>3.3999999999999998E-3</v>
      </c>
      <c r="E105">
        <v>20326153</v>
      </c>
      <c r="F105">
        <v>10935053</v>
      </c>
      <c r="G105" t="s">
        <v>145</v>
      </c>
      <c r="H105">
        <v>553470000</v>
      </c>
      <c r="I105">
        <f t="shared" si="3"/>
        <v>3.6575642814430938E-2</v>
      </c>
      <c r="J105" s="84">
        <f t="shared" si="4"/>
        <v>1.2435718556906561E-4</v>
      </c>
      <c r="K105" t="str">
        <f t="shared" si="5"/>
        <v>Up to $10</v>
      </c>
    </row>
    <row r="106" spans="1:11" x14ac:dyDescent="0.35">
      <c r="A106" t="s">
        <v>272</v>
      </c>
      <c r="B106" t="s">
        <v>273</v>
      </c>
      <c r="C106">
        <v>9.3100000000000002E-2</v>
      </c>
      <c r="D106">
        <v>9.7999999999999997E-3</v>
      </c>
      <c r="E106">
        <v>20417450</v>
      </c>
      <c r="F106">
        <v>5942228</v>
      </c>
      <c r="G106" t="s">
        <v>145</v>
      </c>
      <c r="H106">
        <v>219280000</v>
      </c>
      <c r="I106">
        <f t="shared" si="3"/>
        <v>9.2196474549415722E-2</v>
      </c>
      <c r="J106" s="84">
        <f t="shared" si="4"/>
        <v>9.0352545058428047E-4</v>
      </c>
      <c r="K106" t="str">
        <f t="shared" si="5"/>
        <v>Up to $10</v>
      </c>
    </row>
    <row r="107" spans="1:11" x14ac:dyDescent="0.35">
      <c r="A107" t="s">
        <v>274</v>
      </c>
      <c r="B107" t="s">
        <v>275</v>
      </c>
      <c r="C107">
        <v>2.1999999999999999E-2</v>
      </c>
      <c r="D107">
        <v>6.3E-3</v>
      </c>
      <c r="E107">
        <v>20405058</v>
      </c>
      <c r="F107">
        <v>1649753</v>
      </c>
      <c r="G107" t="s">
        <v>144</v>
      </c>
      <c r="H107">
        <v>925570000</v>
      </c>
      <c r="I107">
        <f t="shared" si="3"/>
        <v>2.1862267713405544E-2</v>
      </c>
      <c r="J107" s="84">
        <f t="shared" si="4"/>
        <v>1.3773228659445455E-4</v>
      </c>
      <c r="K107" t="str">
        <f t="shared" si="5"/>
        <v>Up to $10</v>
      </c>
    </row>
    <row r="108" spans="1:11" x14ac:dyDescent="0.35">
      <c r="A108" t="s">
        <v>276</v>
      </c>
      <c r="B108" t="s">
        <v>277</v>
      </c>
      <c r="C108">
        <v>8.8000000000000005E-3</v>
      </c>
      <c r="D108">
        <v>8.9999999999999993E-3</v>
      </c>
      <c r="E108">
        <v>20204618</v>
      </c>
      <c r="F108">
        <v>5619700</v>
      </c>
      <c r="G108" t="s">
        <v>144</v>
      </c>
      <c r="H108">
        <v>2300000000</v>
      </c>
      <c r="I108">
        <f t="shared" si="3"/>
        <v>8.721506442021805E-3</v>
      </c>
      <c r="J108" s="84">
        <f t="shared" si="4"/>
        <v>7.8493557978195558E-5</v>
      </c>
      <c r="K108" t="str">
        <f t="shared" si="5"/>
        <v>Up to $10</v>
      </c>
    </row>
    <row r="109" spans="1:11" x14ac:dyDescent="0.35">
      <c r="A109" t="s">
        <v>278</v>
      </c>
      <c r="B109" t="s">
        <v>279</v>
      </c>
      <c r="C109">
        <v>1.12E-2</v>
      </c>
      <c r="D109">
        <v>3.0999999999999999E-3</v>
      </c>
      <c r="E109">
        <v>20143761</v>
      </c>
      <c r="F109">
        <v>190635</v>
      </c>
      <c r="G109" t="s">
        <v>145</v>
      </c>
      <c r="H109">
        <v>1790000000</v>
      </c>
      <c r="I109">
        <f t="shared" si="3"/>
        <v>1.1165387299371946E-2</v>
      </c>
      <c r="J109" s="84">
        <f t="shared" si="4"/>
        <v>3.4612700628053675E-5</v>
      </c>
      <c r="K109" t="str">
        <f t="shared" si="5"/>
        <v>Up to $10</v>
      </c>
    </row>
    <row r="110" spans="1:11" x14ac:dyDescent="0.35">
      <c r="A110" t="s">
        <v>280</v>
      </c>
      <c r="B110" t="s">
        <v>280</v>
      </c>
      <c r="C110">
        <v>0</v>
      </c>
      <c r="D110">
        <v>5.7999999999999996E-3</v>
      </c>
      <c r="E110">
        <v>19985403</v>
      </c>
      <c r="F110">
        <v>9122261</v>
      </c>
      <c r="G110" t="s">
        <v>144</v>
      </c>
      <c r="H110">
        <v>516750000000</v>
      </c>
      <c r="I110">
        <f t="shared" si="3"/>
        <v>0</v>
      </c>
      <c r="J110" s="84">
        <f t="shared" si="4"/>
        <v>0</v>
      </c>
      <c r="K110" t="str">
        <f t="shared" si="5"/>
        <v>Up to $10</v>
      </c>
    </row>
    <row r="111" spans="1:11" x14ac:dyDescent="0.35">
      <c r="A111" t="s">
        <v>281</v>
      </c>
      <c r="B111" t="s">
        <v>282</v>
      </c>
      <c r="C111">
        <v>9.5999999999999992E-3</v>
      </c>
      <c r="D111">
        <v>4.1000000000000003E-3</v>
      </c>
      <c r="E111">
        <v>19987317</v>
      </c>
      <c r="F111">
        <v>2678643</v>
      </c>
      <c r="G111" t="s">
        <v>145</v>
      </c>
      <c r="H111">
        <v>2080000000</v>
      </c>
      <c r="I111">
        <f t="shared" si="3"/>
        <v>9.5608007170600532E-3</v>
      </c>
      <c r="J111" s="84">
        <f t="shared" si="4"/>
        <v>3.9199282939945956E-5</v>
      </c>
      <c r="K111" t="str">
        <f t="shared" si="5"/>
        <v>Up to $10</v>
      </c>
    </row>
    <row r="112" spans="1:11" x14ac:dyDescent="0.35">
      <c r="A112" t="s">
        <v>283</v>
      </c>
      <c r="B112" t="s">
        <v>284</v>
      </c>
      <c r="C112">
        <v>0.1246</v>
      </c>
      <c r="D112">
        <v>2.8999999999999998E-3</v>
      </c>
      <c r="E112">
        <v>19938291</v>
      </c>
      <c r="F112">
        <v>1304831</v>
      </c>
      <c r="G112" t="s">
        <v>145</v>
      </c>
      <c r="H112">
        <v>160000000</v>
      </c>
      <c r="I112">
        <f t="shared" si="3"/>
        <v>0.12423970485591786</v>
      </c>
      <c r="J112" s="84">
        <f t="shared" si="4"/>
        <v>3.6029514408214558E-4</v>
      </c>
      <c r="K112" t="str">
        <f t="shared" si="5"/>
        <v>Up to $10</v>
      </c>
    </row>
    <row r="113" spans="1:11" x14ac:dyDescent="0.35">
      <c r="A113" t="s">
        <v>89</v>
      </c>
      <c r="B113" t="s">
        <v>90</v>
      </c>
      <c r="C113">
        <v>8.9399999999999993E-2</v>
      </c>
      <c r="D113">
        <v>7.3000000000000001E-3</v>
      </c>
      <c r="E113">
        <v>19724997</v>
      </c>
      <c r="F113">
        <v>6369318</v>
      </c>
      <c r="G113" t="s">
        <v>144</v>
      </c>
      <c r="I113">
        <f t="shared" si="3"/>
        <v>8.8752109599920567E-2</v>
      </c>
      <c r="J113" s="84">
        <f t="shared" si="4"/>
        <v>6.4789040007942611E-4</v>
      </c>
      <c r="K113" t="str">
        <f t="shared" si="5"/>
        <v>Up to $10</v>
      </c>
    </row>
    <row r="114" spans="1:11" x14ac:dyDescent="0.35">
      <c r="A114" t="s">
        <v>285</v>
      </c>
      <c r="B114" t="s">
        <v>286</v>
      </c>
      <c r="C114">
        <v>9.5299999999999996E-2</v>
      </c>
      <c r="D114">
        <v>5.3E-3</v>
      </c>
      <c r="E114">
        <v>19671495</v>
      </c>
      <c r="F114">
        <v>3521775</v>
      </c>
      <c r="G114" t="s">
        <v>144</v>
      </c>
      <c r="H114">
        <v>206480000</v>
      </c>
      <c r="I114">
        <f t="shared" si="3"/>
        <v>9.4797572863821733E-2</v>
      </c>
      <c r="J114" s="84">
        <f t="shared" si="4"/>
        <v>5.0242713617826285E-4</v>
      </c>
      <c r="K114" t="str">
        <f t="shared" si="5"/>
        <v>Up to $10</v>
      </c>
    </row>
    <row r="115" spans="1:11" x14ac:dyDescent="0.35">
      <c r="A115" t="s">
        <v>287</v>
      </c>
      <c r="B115" t="s">
        <v>288</v>
      </c>
      <c r="C115">
        <v>7.8600000000000003E-2</v>
      </c>
      <c r="D115">
        <v>2.2000000000000001E-3</v>
      </c>
      <c r="E115">
        <v>19644485</v>
      </c>
      <c r="F115">
        <v>17968849</v>
      </c>
      <c r="G115" t="s">
        <v>145</v>
      </c>
      <c r="H115">
        <v>250000000</v>
      </c>
      <c r="I115">
        <f t="shared" si="3"/>
        <v>7.8427459588904416E-2</v>
      </c>
      <c r="J115" s="84">
        <f t="shared" si="4"/>
        <v>1.7254041109558693E-4</v>
      </c>
      <c r="K115" t="str">
        <f t="shared" si="5"/>
        <v>Up to $10</v>
      </c>
    </row>
    <row r="116" spans="1:11" x14ac:dyDescent="0.35">
      <c r="A116" t="s">
        <v>289</v>
      </c>
      <c r="B116" t="s">
        <v>290</v>
      </c>
      <c r="C116">
        <v>1.6299999999999999E-2</v>
      </c>
      <c r="D116">
        <v>2.0000000000000001E-4</v>
      </c>
      <c r="E116">
        <v>19608820</v>
      </c>
      <c r="F116">
        <v>587</v>
      </c>
      <c r="G116" t="s">
        <v>144</v>
      </c>
      <c r="H116">
        <v>1200000000</v>
      </c>
      <c r="I116">
        <f t="shared" si="3"/>
        <v>1.6296740651869625E-2</v>
      </c>
      <c r="J116" s="84">
        <f t="shared" si="4"/>
        <v>3.2593481303737348E-6</v>
      </c>
      <c r="K116" t="str">
        <f t="shared" si="5"/>
        <v>Up to $10</v>
      </c>
    </row>
    <row r="117" spans="1:11" x14ac:dyDescent="0.35">
      <c r="A117" t="s">
        <v>291</v>
      </c>
      <c r="B117" t="s">
        <v>292</v>
      </c>
      <c r="C117">
        <v>2.9999999999999997E-4</v>
      </c>
      <c r="D117">
        <v>2.0999999999999999E-3</v>
      </c>
      <c r="E117">
        <v>19539309</v>
      </c>
      <c r="F117">
        <v>4105623</v>
      </c>
      <c r="G117" t="s">
        <v>145</v>
      </c>
      <c r="H117">
        <v>62850000000</v>
      </c>
      <c r="I117">
        <f t="shared" si="3"/>
        <v>2.9937132022752217E-4</v>
      </c>
      <c r="J117" s="84">
        <f t="shared" si="4"/>
        <v>6.2867977247780399E-7</v>
      </c>
      <c r="K117" t="str">
        <f t="shared" si="5"/>
        <v>Up to $10</v>
      </c>
    </row>
    <row r="118" spans="1:11" x14ac:dyDescent="0.35">
      <c r="A118" t="s">
        <v>293</v>
      </c>
      <c r="B118" t="s">
        <v>294</v>
      </c>
      <c r="C118">
        <v>0.1074</v>
      </c>
      <c r="D118">
        <v>3.0000000000000001E-3</v>
      </c>
      <c r="E118">
        <v>19557870</v>
      </c>
      <c r="F118">
        <v>292241</v>
      </c>
      <c r="G118" t="s">
        <v>144</v>
      </c>
      <c r="H118">
        <v>181980000</v>
      </c>
      <c r="I118">
        <f t="shared" si="3"/>
        <v>0.10707876370887338</v>
      </c>
      <c r="J118" s="84">
        <f t="shared" si="4"/>
        <v>3.2123629112661145E-4</v>
      </c>
      <c r="K118" t="str">
        <f t="shared" si="5"/>
        <v>Up to $10</v>
      </c>
    </row>
    <row r="119" spans="1:11" x14ac:dyDescent="0.35">
      <c r="A119" t="s">
        <v>91</v>
      </c>
      <c r="B119" t="s">
        <v>92</v>
      </c>
      <c r="C119">
        <v>2E-3</v>
      </c>
      <c r="D119">
        <v>3.0999999999999999E-3</v>
      </c>
      <c r="E119">
        <v>19503399</v>
      </c>
      <c r="F119">
        <v>298211</v>
      </c>
      <c r="G119" t="s">
        <v>145</v>
      </c>
      <c r="H119">
        <v>10000000000</v>
      </c>
      <c r="I119">
        <f t="shared" si="3"/>
        <v>1.9938191606021331E-3</v>
      </c>
      <c r="J119" s="84">
        <f t="shared" si="4"/>
        <v>6.1808393978669135E-6</v>
      </c>
      <c r="K119" t="str">
        <f t="shared" si="5"/>
        <v>Up to $10</v>
      </c>
    </row>
    <row r="120" spans="1:11" x14ac:dyDescent="0.35">
      <c r="A120" t="s">
        <v>295</v>
      </c>
      <c r="B120" t="s">
        <v>295</v>
      </c>
      <c r="C120">
        <v>0.12470000000000001</v>
      </c>
      <c r="D120">
        <v>8.0000000000000004E-4</v>
      </c>
      <c r="E120">
        <v>14925074</v>
      </c>
      <c r="F120">
        <v>6722721</v>
      </c>
      <c r="G120" t="s">
        <v>145</v>
      </c>
      <c r="H120">
        <v>119670000</v>
      </c>
      <c r="I120">
        <f t="shared" si="3"/>
        <v>0.12460031974420466</v>
      </c>
      <c r="J120" s="84">
        <f t="shared" si="4"/>
        <v>9.9680255795348005E-5</v>
      </c>
      <c r="K120" t="str">
        <f t="shared" si="5"/>
        <v>Up to $10</v>
      </c>
    </row>
    <row r="121" spans="1:11" x14ac:dyDescent="0.35">
      <c r="A121" t="s">
        <v>296</v>
      </c>
      <c r="B121" t="s">
        <v>297</v>
      </c>
      <c r="C121">
        <v>3.3399999999999999E-2</v>
      </c>
      <c r="D121">
        <v>1.4E-3</v>
      </c>
      <c r="E121">
        <v>14897239</v>
      </c>
      <c r="F121">
        <v>1487247</v>
      </c>
      <c r="G121" t="s">
        <v>145</v>
      </c>
      <c r="H121">
        <v>445330000</v>
      </c>
      <c r="I121">
        <f t="shared" si="3"/>
        <v>3.3353305372478527E-2</v>
      </c>
      <c r="J121" s="84">
        <f t="shared" si="4"/>
        <v>4.6694627521472187E-5</v>
      </c>
      <c r="K121" t="str">
        <f t="shared" si="5"/>
        <v>Up to $10</v>
      </c>
    </row>
    <row r="122" spans="1:11" x14ac:dyDescent="0.35">
      <c r="A122" t="s">
        <v>298</v>
      </c>
      <c r="B122" t="s">
        <v>299</v>
      </c>
      <c r="C122">
        <v>1.5299999999999999E-2</v>
      </c>
      <c r="D122">
        <v>1.4E-3</v>
      </c>
      <c r="E122">
        <v>14890542</v>
      </c>
      <c r="F122">
        <v>3496389</v>
      </c>
      <c r="G122" t="s">
        <v>145</v>
      </c>
      <c r="H122">
        <v>974830000</v>
      </c>
      <c r="I122">
        <f t="shared" si="3"/>
        <v>1.5278609946075493E-2</v>
      </c>
      <c r="J122" s="84">
        <f t="shared" si="4"/>
        <v>2.1390053924506824E-5</v>
      </c>
      <c r="K122" t="str">
        <f t="shared" si="5"/>
        <v>Up to $10</v>
      </c>
    </row>
    <row r="123" spans="1:11" x14ac:dyDescent="0.35">
      <c r="A123" t="s">
        <v>93</v>
      </c>
      <c r="B123" t="s">
        <v>94</v>
      </c>
      <c r="C123">
        <v>0.38379999999999997</v>
      </c>
      <c r="D123">
        <v>6.9999999999999999E-4</v>
      </c>
      <c r="E123">
        <v>14873557</v>
      </c>
      <c r="F123">
        <v>276017</v>
      </c>
      <c r="G123" t="s">
        <v>145</v>
      </c>
      <c r="H123">
        <v>38740000</v>
      </c>
      <c r="I123">
        <f t="shared" si="3"/>
        <v>0.3835315279304487</v>
      </c>
      <c r="J123" s="84">
        <f t="shared" si="4"/>
        <v>2.6847206955127323E-4</v>
      </c>
      <c r="K123" t="str">
        <f t="shared" si="5"/>
        <v>Up to $10</v>
      </c>
    </row>
    <row r="124" spans="1:11" x14ac:dyDescent="0.35">
      <c r="A124" t="s">
        <v>300</v>
      </c>
      <c r="B124" t="s">
        <v>300</v>
      </c>
      <c r="C124">
        <v>1.4999999999999999E-2</v>
      </c>
      <c r="D124">
        <v>2.0000000000000001E-4</v>
      </c>
      <c r="E124">
        <v>14833009</v>
      </c>
      <c r="F124">
        <v>317570</v>
      </c>
      <c r="G124" t="s">
        <v>144</v>
      </c>
      <c r="H124">
        <v>990080000</v>
      </c>
      <c r="I124">
        <f t="shared" si="3"/>
        <v>1.4997000599880024E-2</v>
      </c>
      <c r="J124" s="84">
        <f t="shared" si="4"/>
        <v>2.9994001199754039E-6</v>
      </c>
      <c r="K124" t="str">
        <f t="shared" si="5"/>
        <v>Up to $10</v>
      </c>
    </row>
    <row r="125" spans="1:11" x14ac:dyDescent="0.35">
      <c r="A125" t="s">
        <v>301</v>
      </c>
      <c r="B125" t="s">
        <v>301</v>
      </c>
      <c r="C125">
        <v>0.77349999999999997</v>
      </c>
      <c r="D125">
        <v>2.0000000000000001E-4</v>
      </c>
      <c r="E125">
        <v>14799300</v>
      </c>
      <c r="F125">
        <v>584771</v>
      </c>
      <c r="G125" t="s">
        <v>144</v>
      </c>
      <c r="H125">
        <v>19130000</v>
      </c>
      <c r="I125">
        <f t="shared" si="3"/>
        <v>0.77334533093381319</v>
      </c>
      <c r="J125" s="84">
        <f t="shared" si="4"/>
        <v>1.5466906618677445E-4</v>
      </c>
      <c r="K125" t="str">
        <f t="shared" si="5"/>
        <v>Up to $10</v>
      </c>
    </row>
    <row r="126" spans="1:11" x14ac:dyDescent="0.35">
      <c r="A126" t="s">
        <v>302</v>
      </c>
      <c r="B126" t="s">
        <v>303</v>
      </c>
      <c r="C126">
        <v>1.22</v>
      </c>
      <c r="D126">
        <v>1.9E-3</v>
      </c>
      <c r="E126">
        <v>14720066</v>
      </c>
      <c r="F126">
        <v>5079060</v>
      </c>
      <c r="G126" t="s">
        <v>145</v>
      </c>
      <c r="H126">
        <v>12050000</v>
      </c>
      <c r="I126">
        <f t="shared" si="3"/>
        <v>1.217686395847889</v>
      </c>
      <c r="J126" s="84">
        <f t="shared" si="4"/>
        <v>2.3136041521110151E-3</v>
      </c>
      <c r="K126" t="str">
        <f t="shared" si="5"/>
        <v>Up to $10</v>
      </c>
    </row>
    <row r="127" spans="1:11" x14ac:dyDescent="0.35">
      <c r="A127" t="s">
        <v>304</v>
      </c>
      <c r="B127" t="s">
        <v>305</v>
      </c>
      <c r="C127">
        <v>6.0999999999999999E-2</v>
      </c>
      <c r="D127">
        <v>1.1000000000000001E-3</v>
      </c>
      <c r="E127">
        <v>14733125</v>
      </c>
      <c r="F127">
        <v>43424</v>
      </c>
      <c r="G127" t="s">
        <v>144</v>
      </c>
      <c r="H127">
        <v>241340000</v>
      </c>
      <c r="I127">
        <f t="shared" si="3"/>
        <v>6.0932973728898207E-2</v>
      </c>
      <c r="J127" s="84">
        <f t="shared" si="4"/>
        <v>6.7026271101791601E-5</v>
      </c>
      <c r="K127" t="str">
        <f t="shared" si="5"/>
        <v>Up to $10</v>
      </c>
    </row>
    <row r="128" spans="1:11" x14ac:dyDescent="0.35">
      <c r="A128" t="s">
        <v>306</v>
      </c>
      <c r="B128" t="s">
        <v>307</v>
      </c>
      <c r="C128">
        <v>3.9300000000000002E-2</v>
      </c>
      <c r="D128">
        <v>3.3E-3</v>
      </c>
      <c r="E128">
        <v>14772184</v>
      </c>
      <c r="F128">
        <v>9672793</v>
      </c>
      <c r="G128" t="s">
        <v>144</v>
      </c>
      <c r="H128">
        <v>376130000</v>
      </c>
      <c r="I128">
        <f t="shared" si="3"/>
        <v>3.9170736569321241E-2</v>
      </c>
      <c r="J128" s="84">
        <f t="shared" si="4"/>
        <v>1.29263430678761E-4</v>
      </c>
      <c r="K128" t="str">
        <f t="shared" si="5"/>
        <v>Up to $10</v>
      </c>
    </row>
    <row r="129" spans="1:11" x14ac:dyDescent="0.35">
      <c r="A129" t="s">
        <v>308</v>
      </c>
      <c r="B129" t="s">
        <v>308</v>
      </c>
      <c r="C129">
        <v>0.99929999999999997</v>
      </c>
      <c r="D129">
        <v>4.4000000000000003E-3</v>
      </c>
      <c r="E129">
        <v>14656962</v>
      </c>
      <c r="F129">
        <v>2444956</v>
      </c>
      <c r="G129" t="s">
        <v>144</v>
      </c>
      <c r="H129">
        <v>14660000</v>
      </c>
      <c r="I129">
        <f t="shared" si="3"/>
        <v>0.99492234169653526</v>
      </c>
      <c r="J129" s="84">
        <f t="shared" si="4"/>
        <v>4.3776583034647043E-3</v>
      </c>
      <c r="K129" t="str">
        <f t="shared" si="5"/>
        <v>Up to $10</v>
      </c>
    </row>
    <row r="130" spans="1:11" x14ac:dyDescent="0.35">
      <c r="A130" t="s">
        <v>309</v>
      </c>
      <c r="B130" t="s">
        <v>310</v>
      </c>
      <c r="C130">
        <v>3.7600000000000001E-2</v>
      </c>
      <c r="D130">
        <v>9.1999999999999998E-3</v>
      </c>
      <c r="E130">
        <v>14598411</v>
      </c>
      <c r="F130">
        <v>7529695</v>
      </c>
      <c r="G130" t="s">
        <v>145</v>
      </c>
      <c r="H130">
        <v>388750000</v>
      </c>
      <c r="I130">
        <f t="shared" ref="I130:I193" si="6">C130/(1+D130)</f>
        <v>3.7257233452239392E-2</v>
      </c>
      <c r="J130" s="84">
        <f t="shared" ref="J130:J193" si="7">C130-I130</f>
        <v>3.42766547760609E-4</v>
      </c>
      <c r="K130" t="str">
        <f t="shared" ref="K130:K193" si="8">IF(C130&lt;10,"Up to $10","&gt;= $10")</f>
        <v>Up to $10</v>
      </c>
    </row>
    <row r="131" spans="1:11" x14ac:dyDescent="0.35">
      <c r="A131" t="s">
        <v>311</v>
      </c>
      <c r="B131" t="s">
        <v>312</v>
      </c>
      <c r="C131">
        <v>6.2100000000000002E-2</v>
      </c>
      <c r="D131">
        <v>5.4999999999999997E-3</v>
      </c>
      <c r="E131">
        <v>14592444</v>
      </c>
      <c r="F131">
        <v>26677895</v>
      </c>
      <c r="G131" t="s">
        <v>144</v>
      </c>
      <c r="H131">
        <v>235000000</v>
      </c>
      <c r="I131">
        <f t="shared" si="6"/>
        <v>6.176031824962705E-2</v>
      </c>
      <c r="J131" s="84">
        <f t="shared" si="7"/>
        <v>3.3968175037295267E-4</v>
      </c>
      <c r="K131" t="str">
        <f t="shared" si="8"/>
        <v>Up to $10</v>
      </c>
    </row>
    <row r="132" spans="1:11" x14ac:dyDescent="0.35">
      <c r="A132" t="s">
        <v>313</v>
      </c>
      <c r="B132" t="s">
        <v>314</v>
      </c>
      <c r="C132">
        <v>0.1452</v>
      </c>
      <c r="D132">
        <v>4.0000000000000002E-4</v>
      </c>
      <c r="E132">
        <v>14526085</v>
      </c>
      <c r="F132">
        <v>421</v>
      </c>
      <c r="G132" t="s">
        <v>145</v>
      </c>
      <c r="H132">
        <v>100000000</v>
      </c>
      <c r="I132">
        <f t="shared" si="6"/>
        <v>0.14514194322271093</v>
      </c>
      <c r="J132" s="84">
        <f t="shared" si="7"/>
        <v>5.8056777289067218E-5</v>
      </c>
      <c r="K132" t="str">
        <f t="shared" si="8"/>
        <v>Up to $10</v>
      </c>
    </row>
    <row r="133" spans="1:11" x14ac:dyDescent="0.35">
      <c r="A133" t="s">
        <v>315</v>
      </c>
      <c r="B133" t="s">
        <v>315</v>
      </c>
      <c r="C133">
        <v>6.6E-3</v>
      </c>
      <c r="D133">
        <v>4.0000000000000002E-4</v>
      </c>
      <c r="E133">
        <v>14515905</v>
      </c>
      <c r="F133">
        <v>22436</v>
      </c>
      <c r="G133" t="s">
        <v>145</v>
      </c>
      <c r="H133">
        <v>2180000000</v>
      </c>
      <c r="I133">
        <f t="shared" si="6"/>
        <v>6.5973610555777693E-3</v>
      </c>
      <c r="J133" s="84">
        <f t="shared" si="7"/>
        <v>2.6389444222306435E-6</v>
      </c>
      <c r="K133" t="str">
        <f t="shared" si="8"/>
        <v>Up to $10</v>
      </c>
    </row>
    <row r="134" spans="1:11" x14ac:dyDescent="0.35">
      <c r="A134" t="s">
        <v>316</v>
      </c>
      <c r="B134" t="s">
        <v>317</v>
      </c>
      <c r="C134">
        <v>6.6600000000000006E-2</v>
      </c>
      <c r="D134">
        <v>7.3000000000000001E-3</v>
      </c>
      <c r="E134">
        <v>14454094</v>
      </c>
      <c r="F134">
        <v>4178483</v>
      </c>
      <c r="G134" t="s">
        <v>145</v>
      </c>
      <c r="H134">
        <v>217000000</v>
      </c>
      <c r="I134">
        <f t="shared" si="6"/>
        <v>6.611734339322943E-2</v>
      </c>
      <c r="J134" s="84">
        <f t="shared" si="7"/>
        <v>4.826566067705762E-4</v>
      </c>
      <c r="K134" t="str">
        <f t="shared" si="8"/>
        <v>Up to $10</v>
      </c>
    </row>
    <row r="135" spans="1:11" x14ac:dyDescent="0.35">
      <c r="A135" t="s">
        <v>318</v>
      </c>
      <c r="B135" t="s">
        <v>319</v>
      </c>
      <c r="C135">
        <v>2.0000000000000001E-4</v>
      </c>
      <c r="D135">
        <v>3.7900000000000003E-2</v>
      </c>
      <c r="E135">
        <v>11503225</v>
      </c>
      <c r="F135">
        <v>20158304</v>
      </c>
      <c r="G135" t="s">
        <v>144</v>
      </c>
      <c r="H135">
        <v>64370000000.000008</v>
      </c>
      <c r="I135">
        <f t="shared" si="6"/>
        <v>1.9269679159841988E-4</v>
      </c>
      <c r="J135" s="84">
        <f t="shared" si="7"/>
        <v>7.3032084015801262E-6</v>
      </c>
      <c r="K135" t="str">
        <f t="shared" si="8"/>
        <v>Up to $10</v>
      </c>
    </row>
    <row r="136" spans="1:11" x14ac:dyDescent="0.35">
      <c r="A136" t="s">
        <v>320</v>
      </c>
      <c r="B136" t="s">
        <v>321</v>
      </c>
      <c r="C136">
        <v>8.1000000000000003E-2</v>
      </c>
      <c r="D136">
        <v>1.2999999999999999E-3</v>
      </c>
      <c r="E136">
        <v>11411815</v>
      </c>
      <c r="F136">
        <v>2338940</v>
      </c>
      <c r="G136" t="s">
        <v>145</v>
      </c>
      <c r="H136">
        <v>140840000</v>
      </c>
      <c r="I136">
        <f t="shared" si="6"/>
        <v>8.0894836712274043E-2</v>
      </c>
      <c r="J136" s="84">
        <f t="shared" si="7"/>
        <v>1.0516328772595951E-4</v>
      </c>
      <c r="K136" t="str">
        <f t="shared" si="8"/>
        <v>Up to $10</v>
      </c>
    </row>
    <row r="137" spans="1:11" x14ac:dyDescent="0.35">
      <c r="A137" t="s">
        <v>322</v>
      </c>
      <c r="B137" t="s">
        <v>323</v>
      </c>
      <c r="C137">
        <v>1.2500000000000001E-2</v>
      </c>
      <c r="D137">
        <v>7.0000000000000001E-3</v>
      </c>
      <c r="E137">
        <v>11409466</v>
      </c>
      <c r="F137">
        <v>4656295</v>
      </c>
      <c r="G137" t="s">
        <v>145</v>
      </c>
      <c r="H137">
        <v>915200000</v>
      </c>
      <c r="I137">
        <f t="shared" si="6"/>
        <v>1.2413108242303876E-2</v>
      </c>
      <c r="J137" s="84">
        <f t="shared" si="7"/>
        <v>8.6891757696124991E-5</v>
      </c>
      <c r="K137" t="str">
        <f t="shared" si="8"/>
        <v>Up to $10</v>
      </c>
    </row>
    <row r="138" spans="1:11" x14ac:dyDescent="0.35">
      <c r="A138" t="s">
        <v>324</v>
      </c>
      <c r="B138" t="s">
        <v>325</v>
      </c>
      <c r="C138">
        <v>4.4400000000000002E-2</v>
      </c>
      <c r="D138">
        <v>4.7000000000000002E-3</v>
      </c>
      <c r="E138">
        <v>11358145</v>
      </c>
      <c r="F138">
        <v>7546892</v>
      </c>
      <c r="G138" t="s">
        <v>145</v>
      </c>
      <c r="H138">
        <v>255640000</v>
      </c>
      <c r="I138">
        <f t="shared" si="6"/>
        <v>4.4192296207823237E-2</v>
      </c>
      <c r="J138" s="84">
        <f t="shared" si="7"/>
        <v>2.0770379217676521E-4</v>
      </c>
      <c r="K138" t="str">
        <f t="shared" si="8"/>
        <v>Up to $10</v>
      </c>
    </row>
    <row r="139" spans="1:11" x14ac:dyDescent="0.35">
      <c r="A139" t="s">
        <v>326</v>
      </c>
      <c r="B139" t="s">
        <v>327</v>
      </c>
      <c r="C139">
        <v>112.74</v>
      </c>
      <c r="D139">
        <v>8.0000000000000004E-4</v>
      </c>
      <c r="E139">
        <v>11296373</v>
      </c>
      <c r="F139">
        <v>523823</v>
      </c>
      <c r="G139" t="s">
        <v>144</v>
      </c>
      <c r="H139">
        <v>100190</v>
      </c>
      <c r="I139">
        <f t="shared" si="6"/>
        <v>112.64988009592327</v>
      </c>
      <c r="J139" s="84">
        <f t="shared" si="7"/>
        <v>9.011990407672954E-2</v>
      </c>
      <c r="K139" t="str">
        <f t="shared" si="8"/>
        <v>&gt;= $10</v>
      </c>
    </row>
    <row r="140" spans="1:11" x14ac:dyDescent="0.35">
      <c r="A140" t="s">
        <v>328</v>
      </c>
      <c r="B140" t="s">
        <v>329</v>
      </c>
      <c r="C140">
        <v>1.7000000000000001E-2</v>
      </c>
      <c r="D140">
        <v>2.3E-3</v>
      </c>
      <c r="E140">
        <v>11289173</v>
      </c>
      <c r="F140">
        <v>1811450</v>
      </c>
      <c r="G140" t="s">
        <v>144</v>
      </c>
      <c r="H140">
        <v>664010000</v>
      </c>
      <c r="I140">
        <f t="shared" si="6"/>
        <v>1.696098972363564E-2</v>
      </c>
      <c r="J140" s="84">
        <f t="shared" si="7"/>
        <v>3.9010276364360996E-5</v>
      </c>
      <c r="K140" t="str">
        <f t="shared" si="8"/>
        <v>Up to $10</v>
      </c>
    </row>
    <row r="141" spans="1:11" x14ac:dyDescent="0.35">
      <c r="A141" t="s">
        <v>330</v>
      </c>
      <c r="B141" t="s">
        <v>331</v>
      </c>
      <c r="C141">
        <v>2.3E-3</v>
      </c>
      <c r="D141">
        <v>0</v>
      </c>
      <c r="E141">
        <v>11211988</v>
      </c>
      <c r="F141">
        <v>125431</v>
      </c>
      <c r="G141" t="s">
        <v>145</v>
      </c>
      <c r="H141">
        <v>4830000000</v>
      </c>
      <c r="I141">
        <f t="shared" si="6"/>
        <v>2.3E-3</v>
      </c>
      <c r="J141" s="84">
        <f t="shared" si="7"/>
        <v>0</v>
      </c>
      <c r="K141" t="str">
        <f t="shared" si="8"/>
        <v>Up to $10</v>
      </c>
    </row>
    <row r="142" spans="1:11" x14ac:dyDescent="0.35">
      <c r="A142" t="s">
        <v>332</v>
      </c>
      <c r="B142" t="s">
        <v>333</v>
      </c>
      <c r="C142">
        <v>2.4199999999999999E-2</v>
      </c>
      <c r="D142">
        <v>1.03E-2</v>
      </c>
      <c r="E142">
        <v>11175592</v>
      </c>
      <c r="F142">
        <v>5818093</v>
      </c>
      <c r="G142" t="s">
        <v>144</v>
      </c>
      <c r="H142">
        <v>462370000</v>
      </c>
      <c r="I142">
        <f t="shared" si="6"/>
        <v>2.3953281203602891E-2</v>
      </c>
      <c r="J142" s="84">
        <f t="shared" si="7"/>
        <v>2.4671879639710792E-4</v>
      </c>
      <c r="K142" t="str">
        <f t="shared" si="8"/>
        <v>Up to $10</v>
      </c>
    </row>
    <row r="143" spans="1:11" x14ac:dyDescent="0.35">
      <c r="A143" t="s">
        <v>334</v>
      </c>
      <c r="B143" t="s">
        <v>335</v>
      </c>
      <c r="C143">
        <v>1.1000000000000001E-3</v>
      </c>
      <c r="D143">
        <v>0</v>
      </c>
      <c r="E143">
        <v>11146264</v>
      </c>
      <c r="F143">
        <v>401488</v>
      </c>
      <c r="G143" t="s">
        <v>144</v>
      </c>
      <c r="H143">
        <v>9800000000</v>
      </c>
      <c r="I143">
        <f t="shared" si="6"/>
        <v>1.1000000000000001E-3</v>
      </c>
      <c r="J143" s="84">
        <f t="shared" si="7"/>
        <v>0</v>
      </c>
      <c r="K143" t="str">
        <f t="shared" si="8"/>
        <v>Up to $10</v>
      </c>
    </row>
    <row r="144" spans="1:11" x14ac:dyDescent="0.35">
      <c r="A144" t="s">
        <v>336</v>
      </c>
      <c r="B144" t="s">
        <v>337</v>
      </c>
      <c r="C144">
        <v>5.6000000000000001E-2</v>
      </c>
      <c r="D144">
        <v>1.5599999999999999E-2</v>
      </c>
      <c r="E144">
        <v>11139126</v>
      </c>
      <c r="F144">
        <v>5611958</v>
      </c>
      <c r="G144" t="s">
        <v>145</v>
      </c>
      <c r="H144">
        <v>198950000</v>
      </c>
      <c r="I144">
        <f t="shared" si="6"/>
        <v>5.513981882630957E-2</v>
      </c>
      <c r="J144" s="84">
        <f t="shared" si="7"/>
        <v>8.6018117369043162E-4</v>
      </c>
      <c r="K144" t="str">
        <f t="shared" si="8"/>
        <v>Up to $10</v>
      </c>
    </row>
    <row r="145" spans="1:11" x14ac:dyDescent="0.35">
      <c r="A145" t="s">
        <v>338</v>
      </c>
      <c r="B145" t="s">
        <v>339</v>
      </c>
      <c r="C145">
        <v>5.5800000000000002E-2</v>
      </c>
      <c r="D145">
        <v>1.12E-2</v>
      </c>
      <c r="E145">
        <v>11158832</v>
      </c>
      <c r="F145">
        <v>24535332</v>
      </c>
      <c r="G145" t="s">
        <v>145</v>
      </c>
      <c r="H145">
        <v>200000000</v>
      </c>
      <c r="I145">
        <f t="shared" si="6"/>
        <v>5.5181962025316451E-2</v>
      </c>
      <c r="J145" s="84">
        <f t="shared" si="7"/>
        <v>6.1803797468355098E-4</v>
      </c>
      <c r="K145" t="str">
        <f t="shared" si="8"/>
        <v>Up to $10</v>
      </c>
    </row>
    <row r="146" spans="1:11" x14ac:dyDescent="0.35">
      <c r="A146" t="s">
        <v>340</v>
      </c>
      <c r="B146" t="s">
        <v>341</v>
      </c>
      <c r="C146">
        <v>6.6199999999999995E-2</v>
      </c>
      <c r="D146">
        <v>3.8E-3</v>
      </c>
      <c r="E146">
        <v>11117508</v>
      </c>
      <c r="F146">
        <v>466868</v>
      </c>
      <c r="G146" t="s">
        <v>145</v>
      </c>
      <c r="H146">
        <v>167840000</v>
      </c>
      <c r="I146">
        <f t="shared" si="6"/>
        <v>6.5949392309224933E-2</v>
      </c>
      <c r="J146" s="84">
        <f t="shared" si="7"/>
        <v>2.5060769077506206E-4</v>
      </c>
      <c r="K146" t="str">
        <f t="shared" si="8"/>
        <v>Up to $10</v>
      </c>
    </row>
    <row r="147" spans="1:11" x14ac:dyDescent="0.35">
      <c r="A147" t="s">
        <v>95</v>
      </c>
      <c r="B147" t="s">
        <v>96</v>
      </c>
      <c r="C147">
        <v>1.15E-2</v>
      </c>
      <c r="D147">
        <v>8.6E-3</v>
      </c>
      <c r="E147">
        <v>11112982</v>
      </c>
      <c r="F147">
        <v>1047391</v>
      </c>
      <c r="G147" t="s">
        <v>145</v>
      </c>
      <c r="H147">
        <v>963280000</v>
      </c>
      <c r="I147">
        <f t="shared" si="6"/>
        <v>1.140194328772556E-2</v>
      </c>
      <c r="J147" s="84">
        <f t="shared" si="7"/>
        <v>9.8056712274439961E-5</v>
      </c>
      <c r="K147" t="str">
        <f t="shared" si="8"/>
        <v>Up to $10</v>
      </c>
    </row>
    <row r="148" spans="1:11" x14ac:dyDescent="0.35">
      <c r="A148" t="s">
        <v>342</v>
      </c>
      <c r="B148" t="s">
        <v>343</v>
      </c>
      <c r="C148">
        <v>5.1499999999999997E-2</v>
      </c>
      <c r="D148">
        <v>8.8000000000000005E-3</v>
      </c>
      <c r="E148">
        <v>11103572</v>
      </c>
      <c r="F148">
        <v>3083581</v>
      </c>
      <c r="G148" t="s">
        <v>144</v>
      </c>
      <c r="H148">
        <v>7560000000000</v>
      </c>
      <c r="I148">
        <f t="shared" si="6"/>
        <v>5.1050753370340998E-2</v>
      </c>
      <c r="J148" s="84">
        <f t="shared" si="7"/>
        <v>4.4924662965899892E-4</v>
      </c>
      <c r="K148" t="str">
        <f t="shared" si="8"/>
        <v>Up to $10</v>
      </c>
    </row>
    <row r="149" spans="1:11" x14ac:dyDescent="0.35">
      <c r="A149" t="s">
        <v>344</v>
      </c>
      <c r="B149" t="s">
        <v>345</v>
      </c>
      <c r="C149">
        <v>7.1000000000000004E-3</v>
      </c>
      <c r="D149">
        <v>1.9E-2</v>
      </c>
      <c r="E149">
        <v>8793079</v>
      </c>
      <c r="F149">
        <v>5621560</v>
      </c>
      <c r="G149" t="s">
        <v>144</v>
      </c>
      <c r="H149">
        <v>1230000000</v>
      </c>
      <c r="I149">
        <f t="shared" si="6"/>
        <v>6.9676153091265958E-3</v>
      </c>
      <c r="J149" s="84">
        <f t="shared" si="7"/>
        <v>1.3238469087340464E-4</v>
      </c>
      <c r="K149" t="str">
        <f t="shared" si="8"/>
        <v>Up to $10</v>
      </c>
    </row>
    <row r="150" spans="1:11" x14ac:dyDescent="0.35">
      <c r="A150" t="s">
        <v>346</v>
      </c>
      <c r="B150" t="s">
        <v>347</v>
      </c>
      <c r="C150">
        <v>0.19439999999999999</v>
      </c>
      <c r="D150">
        <v>1.0699999999999999E-2</v>
      </c>
      <c r="E150">
        <v>8794426</v>
      </c>
      <c r="F150">
        <v>4788243</v>
      </c>
      <c r="G150" t="s">
        <v>144</v>
      </c>
      <c r="H150">
        <v>45230000</v>
      </c>
      <c r="I150">
        <f t="shared" si="6"/>
        <v>0.19234194122885129</v>
      </c>
      <c r="J150" s="84">
        <f t="shared" si="7"/>
        <v>2.0580587711487019E-3</v>
      </c>
      <c r="K150" t="str">
        <f t="shared" si="8"/>
        <v>Up to $10</v>
      </c>
    </row>
    <row r="151" spans="1:11" x14ac:dyDescent="0.35">
      <c r="A151" t="s">
        <v>348</v>
      </c>
      <c r="B151" t="s">
        <v>349</v>
      </c>
      <c r="C151">
        <v>8.5999999999999993E-2</v>
      </c>
      <c r="D151">
        <v>8.3000000000000001E-3</v>
      </c>
      <c r="E151">
        <v>8751283</v>
      </c>
      <c r="F151">
        <v>62576912</v>
      </c>
      <c r="G151" t="s">
        <v>145</v>
      </c>
      <c r="H151">
        <v>101730000</v>
      </c>
      <c r="I151">
        <f t="shared" si="6"/>
        <v>8.5292075771099873E-2</v>
      </c>
      <c r="J151" s="84">
        <f t="shared" si="7"/>
        <v>7.0792422890011975E-4</v>
      </c>
      <c r="K151" t="str">
        <f t="shared" si="8"/>
        <v>Up to $10</v>
      </c>
    </row>
    <row r="152" spans="1:11" x14ac:dyDescent="0.35">
      <c r="A152" t="s">
        <v>350</v>
      </c>
      <c r="B152" t="s">
        <v>351</v>
      </c>
      <c r="C152">
        <v>2.06E-2</v>
      </c>
      <c r="D152">
        <v>1.7299999999999999E-2</v>
      </c>
      <c r="E152">
        <v>8740988</v>
      </c>
      <c r="F152">
        <v>7948331</v>
      </c>
      <c r="G152" t="s">
        <v>145</v>
      </c>
      <c r="H152">
        <v>425000000</v>
      </c>
      <c r="I152">
        <f t="shared" si="6"/>
        <v>2.0249680526884889E-2</v>
      </c>
      <c r="J152" s="84">
        <f t="shared" si="7"/>
        <v>3.503194731151113E-4</v>
      </c>
      <c r="K152" t="str">
        <f t="shared" si="8"/>
        <v>Up to $10</v>
      </c>
    </row>
    <row r="153" spans="1:11" x14ac:dyDescent="0.35">
      <c r="A153" t="s">
        <v>352</v>
      </c>
      <c r="B153" t="s">
        <v>353</v>
      </c>
      <c r="C153">
        <v>4.8800000000000003E-2</v>
      </c>
      <c r="D153">
        <v>1.12E-2</v>
      </c>
      <c r="E153">
        <v>8770259</v>
      </c>
      <c r="F153">
        <v>2389955</v>
      </c>
      <c r="G153" t="s">
        <v>145</v>
      </c>
      <c r="H153">
        <v>179640000</v>
      </c>
      <c r="I153">
        <f t="shared" si="6"/>
        <v>4.8259493670886076E-2</v>
      </c>
      <c r="J153" s="84">
        <f t="shared" si="7"/>
        <v>5.4050632911392671E-4</v>
      </c>
      <c r="K153" t="str">
        <f t="shared" si="8"/>
        <v>Up to $10</v>
      </c>
    </row>
    <row r="154" spans="1:11" x14ac:dyDescent="0.35">
      <c r="A154" t="s">
        <v>354</v>
      </c>
      <c r="B154" t="s">
        <v>355</v>
      </c>
      <c r="C154">
        <v>1.6899999999999998E-2</v>
      </c>
      <c r="D154">
        <v>2.0799999999999999E-2</v>
      </c>
      <c r="E154">
        <v>8734559</v>
      </c>
      <c r="F154">
        <v>5690255</v>
      </c>
      <c r="G154" t="s">
        <v>144</v>
      </c>
      <c r="H154">
        <v>517210000.00000006</v>
      </c>
      <c r="I154">
        <f t="shared" si="6"/>
        <v>1.655564263322884E-2</v>
      </c>
      <c r="J154" s="84">
        <f t="shared" si="7"/>
        <v>3.4435736677115858E-4</v>
      </c>
      <c r="K154" t="str">
        <f t="shared" si="8"/>
        <v>Up to $10</v>
      </c>
    </row>
    <row r="155" spans="1:11" x14ac:dyDescent="0.35">
      <c r="A155" t="s">
        <v>356</v>
      </c>
      <c r="B155" t="s">
        <v>357</v>
      </c>
      <c r="C155">
        <v>6.5799999999999997E-2</v>
      </c>
      <c r="D155">
        <v>6.7000000000000002E-3</v>
      </c>
      <c r="E155">
        <v>8726562</v>
      </c>
      <c r="F155">
        <v>5788007</v>
      </c>
      <c r="G155" t="s">
        <v>145</v>
      </c>
      <c r="H155">
        <v>132610000.00000001</v>
      </c>
      <c r="I155">
        <f t="shared" si="6"/>
        <v>6.5362074103506515E-2</v>
      </c>
      <c r="J155" s="84">
        <f t="shared" si="7"/>
        <v>4.3792589649348235E-4</v>
      </c>
      <c r="K155" t="str">
        <f t="shared" si="8"/>
        <v>Up to $10</v>
      </c>
    </row>
    <row r="156" spans="1:11" x14ac:dyDescent="0.35">
      <c r="A156" t="s">
        <v>358</v>
      </c>
      <c r="B156" t="s">
        <v>359</v>
      </c>
      <c r="C156">
        <v>0.1002</v>
      </c>
      <c r="D156">
        <v>9.9000000000000008E-3</v>
      </c>
      <c r="E156">
        <v>8846993</v>
      </c>
      <c r="F156">
        <v>39800165</v>
      </c>
      <c r="G156" t="s">
        <v>145</v>
      </c>
      <c r="H156">
        <v>88240000</v>
      </c>
      <c r="I156">
        <f t="shared" si="6"/>
        <v>9.921774433112189E-2</v>
      </c>
      <c r="J156" s="84">
        <f t="shared" si="7"/>
        <v>9.82255668878107E-4</v>
      </c>
      <c r="K156" t="str">
        <f t="shared" si="8"/>
        <v>Up to $10</v>
      </c>
    </row>
    <row r="157" spans="1:11" x14ac:dyDescent="0.35">
      <c r="A157" t="s">
        <v>360</v>
      </c>
      <c r="B157" t="s">
        <v>361</v>
      </c>
      <c r="C157">
        <v>899.55</v>
      </c>
      <c r="D157">
        <v>6.3E-3</v>
      </c>
      <c r="E157">
        <v>8595164</v>
      </c>
      <c r="F157">
        <v>307802</v>
      </c>
      <c r="G157" t="s">
        <v>145</v>
      </c>
      <c r="H157">
        <v>9550</v>
      </c>
      <c r="I157">
        <f t="shared" si="6"/>
        <v>893.91831461790719</v>
      </c>
      <c r="J157" s="84">
        <f t="shared" si="7"/>
        <v>5.631685382092769</v>
      </c>
      <c r="K157" t="str">
        <f t="shared" si="8"/>
        <v>&gt;= $10</v>
      </c>
    </row>
    <row r="158" spans="1:11" x14ac:dyDescent="0.35">
      <c r="A158" t="s">
        <v>362</v>
      </c>
      <c r="B158" t="s">
        <v>363</v>
      </c>
      <c r="C158">
        <v>5.34</v>
      </c>
      <c r="D158">
        <v>1E-4</v>
      </c>
      <c r="E158">
        <v>8547463</v>
      </c>
      <c r="F158">
        <v>713174</v>
      </c>
      <c r="G158" t="s">
        <v>144</v>
      </c>
      <c r="H158">
        <v>1600000</v>
      </c>
      <c r="I158">
        <f t="shared" si="6"/>
        <v>5.3394660533946601</v>
      </c>
      <c r="J158" s="84">
        <f t="shared" si="7"/>
        <v>5.3394660533978566E-4</v>
      </c>
      <c r="K158" t="str">
        <f t="shared" si="8"/>
        <v>Up to $10</v>
      </c>
    </row>
    <row r="159" spans="1:11" x14ac:dyDescent="0.35">
      <c r="A159" t="s">
        <v>364</v>
      </c>
      <c r="B159" t="s">
        <v>365</v>
      </c>
      <c r="C159">
        <v>0.11070000000000001</v>
      </c>
      <c r="D159">
        <v>1.6500000000000001E-2</v>
      </c>
      <c r="E159">
        <v>8524268</v>
      </c>
      <c r="F159">
        <v>29287</v>
      </c>
      <c r="G159" t="s">
        <v>144</v>
      </c>
      <c r="H159">
        <v>76990000</v>
      </c>
      <c r="I159">
        <f t="shared" si="6"/>
        <v>0.108903098868667</v>
      </c>
      <c r="J159" s="84">
        <f t="shared" si="7"/>
        <v>1.7969011313330036E-3</v>
      </c>
      <c r="K159" t="str">
        <f t="shared" si="8"/>
        <v>Up to $10</v>
      </c>
    </row>
    <row r="160" spans="1:11" x14ac:dyDescent="0.35">
      <c r="A160" t="s">
        <v>366</v>
      </c>
      <c r="B160" t="s">
        <v>367</v>
      </c>
      <c r="C160">
        <v>0.43880000000000002</v>
      </c>
      <c r="D160">
        <v>2.8999999999999998E-3</v>
      </c>
      <c r="E160">
        <v>8474846</v>
      </c>
      <c r="F160">
        <v>125236</v>
      </c>
      <c r="G160" t="s">
        <v>145</v>
      </c>
      <c r="H160">
        <v>19310000</v>
      </c>
      <c r="I160">
        <f t="shared" si="6"/>
        <v>0.43753115963705264</v>
      </c>
      <c r="J160" s="84">
        <f t="shared" si="7"/>
        <v>1.2688403629473877E-3</v>
      </c>
      <c r="K160" t="str">
        <f t="shared" si="8"/>
        <v>Up to $10</v>
      </c>
    </row>
    <row r="161" spans="1:11" x14ac:dyDescent="0.35">
      <c r="A161" t="s">
        <v>97</v>
      </c>
      <c r="B161" t="s">
        <v>98</v>
      </c>
      <c r="C161">
        <v>3.36</v>
      </c>
      <c r="D161">
        <v>6.1999999999999998E-3</v>
      </c>
      <c r="E161">
        <v>8490917</v>
      </c>
      <c r="F161">
        <v>1312642</v>
      </c>
      <c r="G161" t="s">
        <v>144</v>
      </c>
      <c r="H161">
        <v>2520000</v>
      </c>
      <c r="I161">
        <f t="shared" si="6"/>
        <v>3.3392963625521763</v>
      </c>
      <c r="J161" s="84">
        <f t="shared" si="7"/>
        <v>2.0703637447823553E-2</v>
      </c>
      <c r="K161" t="str">
        <f t="shared" si="8"/>
        <v>Up to $10</v>
      </c>
    </row>
    <row r="162" spans="1:11" x14ac:dyDescent="0.35">
      <c r="A162" t="s">
        <v>368</v>
      </c>
      <c r="B162" t="s">
        <v>369</v>
      </c>
      <c r="C162">
        <v>0.01</v>
      </c>
      <c r="D162">
        <v>1.0800000000000001E-2</v>
      </c>
      <c r="E162">
        <v>8350740</v>
      </c>
      <c r="F162">
        <v>13913684</v>
      </c>
      <c r="G162" t="s">
        <v>145</v>
      </c>
      <c r="H162">
        <v>835270000</v>
      </c>
      <c r="I162">
        <f t="shared" si="6"/>
        <v>9.8931539374752676E-3</v>
      </c>
      <c r="J162" s="84">
        <f t="shared" si="7"/>
        <v>1.0684606252473264E-4</v>
      </c>
      <c r="K162" t="str">
        <f t="shared" si="8"/>
        <v>Up to $10</v>
      </c>
    </row>
    <row r="163" spans="1:11" x14ac:dyDescent="0.35">
      <c r="A163" t="s">
        <v>370</v>
      </c>
      <c r="B163" t="s">
        <v>370</v>
      </c>
      <c r="C163">
        <v>8.3999999999999995E-3</v>
      </c>
      <c r="D163">
        <v>8.6999999999999994E-3</v>
      </c>
      <c r="E163">
        <v>8363116</v>
      </c>
      <c r="F163">
        <v>7297130</v>
      </c>
      <c r="G163" t="s">
        <v>144</v>
      </c>
      <c r="H163">
        <v>1000000000</v>
      </c>
      <c r="I163">
        <f t="shared" si="6"/>
        <v>8.3275503122831364E-3</v>
      </c>
      <c r="J163" s="84">
        <f t="shared" si="7"/>
        <v>7.2449687716863095E-5</v>
      </c>
      <c r="K163" t="str">
        <f t="shared" si="8"/>
        <v>Up to $10</v>
      </c>
    </row>
    <row r="164" spans="1:11" x14ac:dyDescent="0.35">
      <c r="A164" t="s">
        <v>103</v>
      </c>
      <c r="B164" t="s">
        <v>104</v>
      </c>
      <c r="C164">
        <v>6.9999999999999999E-4</v>
      </c>
      <c r="D164">
        <v>6.1999999999999998E-3</v>
      </c>
      <c r="E164">
        <v>6448383</v>
      </c>
      <c r="F164">
        <v>485717</v>
      </c>
      <c r="G164" t="s">
        <v>144</v>
      </c>
      <c r="H164">
        <v>9320000000</v>
      </c>
      <c r="I164">
        <f t="shared" si="6"/>
        <v>6.9568674219837008E-4</v>
      </c>
      <c r="J164" s="84">
        <f t="shared" si="7"/>
        <v>4.3132578016299083E-6</v>
      </c>
      <c r="K164" t="str">
        <f t="shared" si="8"/>
        <v>Up to $10</v>
      </c>
    </row>
    <row r="165" spans="1:11" x14ac:dyDescent="0.35">
      <c r="A165" t="s">
        <v>371</v>
      </c>
      <c r="B165" t="s">
        <v>372</v>
      </c>
      <c r="C165">
        <v>7.3300000000000004E-2</v>
      </c>
      <c r="D165">
        <v>3.0999999999999999E-3</v>
      </c>
      <c r="E165">
        <v>6415469</v>
      </c>
      <c r="F165">
        <v>5112067</v>
      </c>
      <c r="G165" t="s">
        <v>145</v>
      </c>
      <c r="H165">
        <v>87490000</v>
      </c>
      <c r="I165">
        <f t="shared" si="6"/>
        <v>7.3073472236068179E-2</v>
      </c>
      <c r="J165" s="84">
        <f t="shared" si="7"/>
        <v>2.2652776393182472E-4</v>
      </c>
      <c r="K165" t="str">
        <f t="shared" si="8"/>
        <v>Up to $10</v>
      </c>
    </row>
    <row r="166" spans="1:11" x14ac:dyDescent="0.35">
      <c r="A166" t="s">
        <v>101</v>
      </c>
      <c r="B166" t="s">
        <v>102</v>
      </c>
      <c r="C166">
        <v>2.9999999999999997E-4</v>
      </c>
      <c r="D166">
        <v>0</v>
      </c>
      <c r="E166">
        <v>6404757</v>
      </c>
      <c r="F166">
        <v>29171</v>
      </c>
      <c r="G166" t="s">
        <v>145</v>
      </c>
      <c r="H166">
        <v>21200000000</v>
      </c>
      <c r="I166">
        <f t="shared" si="6"/>
        <v>2.9999999999999997E-4</v>
      </c>
      <c r="J166" s="84">
        <f t="shared" si="7"/>
        <v>0</v>
      </c>
      <c r="K166" t="str">
        <f t="shared" si="8"/>
        <v>Up to $10</v>
      </c>
    </row>
    <row r="167" spans="1:11" x14ac:dyDescent="0.35">
      <c r="A167" t="s">
        <v>373</v>
      </c>
      <c r="B167" t="s">
        <v>374</v>
      </c>
      <c r="C167">
        <v>57.43</v>
      </c>
      <c r="D167">
        <v>1.6000000000000001E-3</v>
      </c>
      <c r="E167">
        <v>6399426</v>
      </c>
      <c r="F167">
        <v>1168478</v>
      </c>
      <c r="G167" t="s">
        <v>145</v>
      </c>
      <c r="H167">
        <v>111410</v>
      </c>
      <c r="I167">
        <f t="shared" si="6"/>
        <v>57.338258785942486</v>
      </c>
      <c r="J167" s="84">
        <f t="shared" si="7"/>
        <v>9.1741214057513787E-2</v>
      </c>
      <c r="K167" t="str">
        <f t="shared" si="8"/>
        <v>&gt;= $10</v>
      </c>
    </row>
    <row r="168" spans="1:11" x14ac:dyDescent="0.35">
      <c r="A168" t="s">
        <v>375</v>
      </c>
      <c r="B168" t="s">
        <v>375</v>
      </c>
      <c r="C168">
        <v>3.0999999999999999E-3</v>
      </c>
      <c r="D168">
        <v>1.5900000000000001E-2</v>
      </c>
      <c r="E168">
        <v>6417718</v>
      </c>
      <c r="F168">
        <v>3626628</v>
      </c>
      <c r="G168" t="s">
        <v>144</v>
      </c>
      <c r="H168">
        <v>2049999999.9999998</v>
      </c>
      <c r="I168">
        <f t="shared" si="6"/>
        <v>3.0514814450241165E-3</v>
      </c>
      <c r="J168" s="84">
        <f t="shared" si="7"/>
        <v>4.851855497588339E-5</v>
      </c>
      <c r="K168" t="str">
        <f t="shared" si="8"/>
        <v>Up to $10</v>
      </c>
    </row>
    <row r="169" spans="1:11" x14ac:dyDescent="0.35">
      <c r="A169" t="s">
        <v>376</v>
      </c>
      <c r="B169" t="s">
        <v>377</v>
      </c>
      <c r="C169">
        <v>8.0000000000000004E-4</v>
      </c>
      <c r="D169">
        <v>2.0000000000000001E-4</v>
      </c>
      <c r="E169">
        <v>6388227</v>
      </c>
      <c r="F169">
        <v>215386</v>
      </c>
      <c r="G169" t="s">
        <v>145</v>
      </c>
      <c r="H169">
        <v>7820000000</v>
      </c>
      <c r="I169">
        <f t="shared" si="6"/>
        <v>7.9984003199360136E-4</v>
      </c>
      <c r="J169" s="84">
        <f t="shared" si="7"/>
        <v>1.5996800639868098E-7</v>
      </c>
      <c r="K169" t="str">
        <f t="shared" si="8"/>
        <v>Up to $10</v>
      </c>
    </row>
    <row r="170" spans="1:11" x14ac:dyDescent="0.35">
      <c r="A170" t="s">
        <v>378</v>
      </c>
      <c r="B170" t="s">
        <v>379</v>
      </c>
      <c r="C170">
        <v>0.13980000000000001</v>
      </c>
      <c r="D170">
        <v>5.0000000000000001E-4</v>
      </c>
      <c r="E170">
        <v>6386513</v>
      </c>
      <c r="F170">
        <v>824</v>
      </c>
      <c r="G170" t="s">
        <v>145</v>
      </c>
      <c r="H170">
        <v>45660000</v>
      </c>
      <c r="I170">
        <f t="shared" si="6"/>
        <v>0.13973013493253375</v>
      </c>
      <c r="J170" s="84">
        <f t="shared" si="7"/>
        <v>6.9865067466257091E-5</v>
      </c>
      <c r="K170" t="str">
        <f t="shared" si="8"/>
        <v>Up to $10</v>
      </c>
    </row>
    <row r="171" spans="1:11" x14ac:dyDescent="0.35">
      <c r="A171" t="s">
        <v>380</v>
      </c>
      <c r="B171" t="s">
        <v>381</v>
      </c>
      <c r="C171">
        <v>2.7400000000000001E-2</v>
      </c>
      <c r="D171">
        <v>2.3999999999999998E-3</v>
      </c>
      <c r="E171">
        <v>6375652</v>
      </c>
      <c r="F171">
        <v>6397</v>
      </c>
      <c r="G171" t="s">
        <v>144</v>
      </c>
      <c r="H171">
        <v>232490000</v>
      </c>
      <c r="I171">
        <f t="shared" si="6"/>
        <v>2.7334397446129293E-2</v>
      </c>
      <c r="J171" s="84">
        <f t="shared" si="7"/>
        <v>6.5602553870707653E-5</v>
      </c>
      <c r="K171" t="str">
        <f t="shared" si="8"/>
        <v>Up to $10</v>
      </c>
    </row>
    <row r="172" spans="1:11" x14ac:dyDescent="0.35">
      <c r="A172" t="s">
        <v>382</v>
      </c>
      <c r="B172" t="s">
        <v>383</v>
      </c>
      <c r="C172">
        <v>7.85E-2</v>
      </c>
      <c r="D172">
        <v>5.0000000000000001E-4</v>
      </c>
      <c r="E172">
        <v>6329637</v>
      </c>
      <c r="F172">
        <v>118991</v>
      </c>
      <c r="G172" t="s">
        <v>144</v>
      </c>
      <c r="H172">
        <v>80650000</v>
      </c>
      <c r="I172">
        <f t="shared" si="6"/>
        <v>7.8460769615192411E-2</v>
      </c>
      <c r="J172" s="84">
        <f t="shared" si="7"/>
        <v>3.923038480758978E-5</v>
      </c>
      <c r="K172" t="str">
        <f t="shared" si="8"/>
        <v>Up to $10</v>
      </c>
    </row>
    <row r="173" spans="1:11" x14ac:dyDescent="0.35">
      <c r="A173" t="s">
        <v>384</v>
      </c>
      <c r="B173" t="s">
        <v>385</v>
      </c>
      <c r="C173">
        <v>0</v>
      </c>
      <c r="D173">
        <v>4.0000000000000001E-3</v>
      </c>
      <c r="E173">
        <v>6318371</v>
      </c>
      <c r="F173">
        <v>224602</v>
      </c>
      <c r="G173" t="s">
        <v>144</v>
      </c>
      <c r="H173">
        <v>337880000000</v>
      </c>
      <c r="I173">
        <f t="shared" si="6"/>
        <v>0</v>
      </c>
      <c r="J173" s="84">
        <f t="shared" si="7"/>
        <v>0</v>
      </c>
      <c r="K173" t="str">
        <f t="shared" si="8"/>
        <v>Up to $10</v>
      </c>
    </row>
    <row r="174" spans="1:11" x14ac:dyDescent="0.35">
      <c r="A174" t="s">
        <v>386</v>
      </c>
      <c r="B174" t="s">
        <v>387</v>
      </c>
      <c r="C174">
        <v>1.9E-2</v>
      </c>
      <c r="D174">
        <v>4.3700000000000003E-2</v>
      </c>
      <c r="E174">
        <v>6337889</v>
      </c>
      <c r="F174">
        <v>2664811</v>
      </c>
      <c r="G174" t="s">
        <v>145</v>
      </c>
      <c r="H174">
        <v>333280000</v>
      </c>
      <c r="I174">
        <f t="shared" si="6"/>
        <v>1.8204464884545364E-2</v>
      </c>
      <c r="J174" s="84">
        <f t="shared" si="7"/>
        <v>7.9553511545463543E-4</v>
      </c>
      <c r="K174" t="str">
        <f t="shared" si="8"/>
        <v>Up to $10</v>
      </c>
    </row>
    <row r="175" spans="1:11" x14ac:dyDescent="0.35">
      <c r="A175" t="s">
        <v>388</v>
      </c>
      <c r="B175" t="s">
        <v>389</v>
      </c>
      <c r="C175">
        <v>1.6400000000000001E-2</v>
      </c>
      <c r="D175">
        <v>7.7999999999999996E-3</v>
      </c>
      <c r="E175">
        <v>6309198</v>
      </c>
      <c r="F175">
        <v>8594550</v>
      </c>
      <c r="G175" t="s">
        <v>144</v>
      </c>
      <c r="H175">
        <v>385180000</v>
      </c>
      <c r="I175">
        <f t="shared" si="6"/>
        <v>1.627307005358206E-2</v>
      </c>
      <c r="J175" s="84">
        <f t="shared" si="7"/>
        <v>1.2692994641794186E-4</v>
      </c>
      <c r="K175" t="str">
        <f t="shared" si="8"/>
        <v>Up to $10</v>
      </c>
    </row>
    <row r="176" spans="1:11" x14ac:dyDescent="0.35">
      <c r="A176" t="s">
        <v>390</v>
      </c>
      <c r="B176" t="s">
        <v>391</v>
      </c>
      <c r="C176">
        <v>3.8999999999999998E-3</v>
      </c>
      <c r="D176">
        <v>1.4E-3</v>
      </c>
      <c r="E176">
        <v>6311340</v>
      </c>
      <c r="F176">
        <v>228048</v>
      </c>
      <c r="G176" t="s">
        <v>145</v>
      </c>
      <c r="H176">
        <v>1610000000</v>
      </c>
      <c r="I176">
        <f t="shared" si="6"/>
        <v>3.8945476333133609E-3</v>
      </c>
      <c r="J176" s="84">
        <f t="shared" si="7"/>
        <v>5.4523666866389264E-6</v>
      </c>
      <c r="K176" t="str">
        <f t="shared" si="8"/>
        <v>Up to $10</v>
      </c>
    </row>
    <row r="177" spans="1:11" x14ac:dyDescent="0.35">
      <c r="A177" t="s">
        <v>392</v>
      </c>
      <c r="B177" t="s">
        <v>393</v>
      </c>
      <c r="C177">
        <v>2.5499999999999998E-2</v>
      </c>
      <c r="D177">
        <v>1.4800000000000001E-2</v>
      </c>
      <c r="E177">
        <v>6306281</v>
      </c>
      <c r="F177">
        <v>1184339</v>
      </c>
      <c r="G177" t="s">
        <v>144</v>
      </c>
      <c r="H177">
        <v>246960000</v>
      </c>
      <c r="I177">
        <f t="shared" si="6"/>
        <v>2.5128104059913284E-2</v>
      </c>
      <c r="J177" s="84">
        <f t="shared" si="7"/>
        <v>3.7189594008671389E-4</v>
      </c>
      <c r="K177" t="str">
        <f t="shared" si="8"/>
        <v>Up to $10</v>
      </c>
    </row>
    <row r="178" spans="1:11" x14ac:dyDescent="0.35">
      <c r="A178" t="s">
        <v>394</v>
      </c>
      <c r="B178" t="s">
        <v>395</v>
      </c>
      <c r="C178">
        <v>715.16</v>
      </c>
      <c r="D178">
        <v>1E-3</v>
      </c>
      <c r="E178">
        <v>6252612</v>
      </c>
      <c r="F178">
        <v>429359</v>
      </c>
      <c r="G178" t="s">
        <v>144</v>
      </c>
      <c r="H178">
        <v>8740</v>
      </c>
      <c r="I178">
        <f t="shared" si="6"/>
        <v>714.44555444555454</v>
      </c>
      <c r="J178" s="84">
        <f t="shared" si="7"/>
        <v>0.71444555444543312</v>
      </c>
      <c r="K178" t="str">
        <f t="shared" si="8"/>
        <v>&gt;= $10</v>
      </c>
    </row>
    <row r="179" spans="1:11" x14ac:dyDescent="0.35">
      <c r="A179" t="s">
        <v>396</v>
      </c>
      <c r="B179" t="s">
        <v>397</v>
      </c>
      <c r="C179">
        <v>0.32790000000000002</v>
      </c>
      <c r="D179">
        <v>2.0999999999999999E-3</v>
      </c>
      <c r="E179">
        <v>5103175</v>
      </c>
      <c r="F179">
        <v>8590627</v>
      </c>
      <c r="G179" t="s">
        <v>144</v>
      </c>
      <c r="H179">
        <v>15560000</v>
      </c>
      <c r="I179">
        <f t="shared" si="6"/>
        <v>0.3272128530086818</v>
      </c>
      <c r="J179" s="84">
        <f t="shared" si="7"/>
        <v>6.8714699131822154E-4</v>
      </c>
      <c r="K179" t="str">
        <f t="shared" si="8"/>
        <v>Up to $10</v>
      </c>
    </row>
    <row r="180" spans="1:11" x14ac:dyDescent="0.35">
      <c r="A180" t="s">
        <v>398</v>
      </c>
      <c r="B180" t="s">
        <v>399</v>
      </c>
      <c r="C180">
        <v>0.37830000000000003</v>
      </c>
      <c r="D180">
        <v>2.0199999999999999E-2</v>
      </c>
      <c r="E180">
        <v>5101302</v>
      </c>
      <c r="F180">
        <v>6658670</v>
      </c>
      <c r="G180" t="s">
        <v>144</v>
      </c>
      <c r="H180">
        <v>13480000</v>
      </c>
      <c r="I180">
        <f t="shared" si="6"/>
        <v>0.37080964516761422</v>
      </c>
      <c r="J180" s="84">
        <f t="shared" si="7"/>
        <v>7.4903548323858038E-3</v>
      </c>
      <c r="K180" t="str">
        <f t="shared" si="8"/>
        <v>Up to $10</v>
      </c>
    </row>
    <row r="181" spans="1:11" x14ac:dyDescent="0.35">
      <c r="A181" t="s">
        <v>400</v>
      </c>
      <c r="B181" t="s">
        <v>401</v>
      </c>
      <c r="C181">
        <v>5.4000000000000003E-3</v>
      </c>
      <c r="D181">
        <v>8.0999999999999996E-3</v>
      </c>
      <c r="E181">
        <v>5072302</v>
      </c>
      <c r="F181">
        <v>490438</v>
      </c>
      <c r="G181" t="s">
        <v>145</v>
      </c>
      <c r="H181">
        <v>936060000</v>
      </c>
      <c r="I181">
        <f t="shared" si="6"/>
        <v>5.3566114472770564E-3</v>
      </c>
      <c r="J181" s="84">
        <f t="shared" si="7"/>
        <v>4.338855272294391E-5</v>
      </c>
      <c r="K181" t="str">
        <f t="shared" si="8"/>
        <v>Up to $10</v>
      </c>
    </row>
    <row r="182" spans="1:11" x14ac:dyDescent="0.35">
      <c r="A182" t="s">
        <v>402</v>
      </c>
      <c r="B182" t="s">
        <v>403</v>
      </c>
      <c r="C182">
        <v>1.9E-2</v>
      </c>
      <c r="D182">
        <v>2.9999999999999997E-4</v>
      </c>
      <c r="E182">
        <v>5063868</v>
      </c>
      <c r="F182">
        <v>164930</v>
      </c>
      <c r="G182" t="s">
        <v>144</v>
      </c>
      <c r="H182">
        <v>267140000</v>
      </c>
      <c r="I182">
        <f t="shared" si="6"/>
        <v>1.8994301709487155E-2</v>
      </c>
      <c r="J182" s="84">
        <f t="shared" si="7"/>
        <v>5.6982905128448447E-6</v>
      </c>
      <c r="K182" t="str">
        <f t="shared" si="8"/>
        <v>Up to $10</v>
      </c>
    </row>
    <row r="183" spans="1:11" x14ac:dyDescent="0.35">
      <c r="A183" t="s">
        <v>404</v>
      </c>
      <c r="B183" t="s">
        <v>404</v>
      </c>
      <c r="C183">
        <v>8.8999999999999999E-3</v>
      </c>
      <c r="D183">
        <v>8.3999999999999995E-3</v>
      </c>
      <c r="E183">
        <v>5001116</v>
      </c>
      <c r="F183">
        <v>169770</v>
      </c>
      <c r="G183" t="s">
        <v>145</v>
      </c>
      <c r="H183">
        <v>561040000</v>
      </c>
      <c r="I183">
        <f t="shared" si="6"/>
        <v>8.8258627528758436E-3</v>
      </c>
      <c r="J183" s="84">
        <f t="shared" si="7"/>
        <v>7.4137247124156369E-5</v>
      </c>
      <c r="K183" t="str">
        <f t="shared" si="8"/>
        <v>Up to $10</v>
      </c>
    </row>
    <row r="184" spans="1:11" x14ac:dyDescent="0.35">
      <c r="A184" t="s">
        <v>109</v>
      </c>
      <c r="B184" t="s">
        <v>110</v>
      </c>
      <c r="C184">
        <v>5.0000000000000001E-3</v>
      </c>
      <c r="D184">
        <v>4.48E-2</v>
      </c>
      <c r="E184">
        <v>4963366</v>
      </c>
      <c r="F184">
        <v>2738594</v>
      </c>
      <c r="G184" t="s">
        <v>144</v>
      </c>
      <c r="H184">
        <v>999960000</v>
      </c>
      <c r="I184">
        <f t="shared" si="6"/>
        <v>4.7856049004594186E-3</v>
      </c>
      <c r="J184" s="84">
        <f t="shared" si="7"/>
        <v>2.1439509954058154E-4</v>
      </c>
      <c r="K184" t="str">
        <f t="shared" si="8"/>
        <v>Up to $10</v>
      </c>
    </row>
    <row r="185" spans="1:11" x14ac:dyDescent="0.35">
      <c r="A185" t="s">
        <v>405</v>
      </c>
      <c r="B185" t="s">
        <v>406</v>
      </c>
      <c r="C185">
        <v>0.35610000000000003</v>
      </c>
      <c r="D185">
        <v>0</v>
      </c>
      <c r="E185">
        <v>4959267</v>
      </c>
      <c r="F185">
        <v>40175</v>
      </c>
      <c r="G185" t="s">
        <v>144</v>
      </c>
      <c r="H185">
        <v>13920000</v>
      </c>
      <c r="I185">
        <f t="shared" si="6"/>
        <v>0.35610000000000003</v>
      </c>
      <c r="J185" s="84">
        <f t="shared" si="7"/>
        <v>0</v>
      </c>
      <c r="K185" t="str">
        <f t="shared" si="8"/>
        <v>Up to $10</v>
      </c>
    </row>
    <row r="186" spans="1:11" x14ac:dyDescent="0.35">
      <c r="A186" t="s">
        <v>407</v>
      </c>
      <c r="B186" t="s">
        <v>408</v>
      </c>
      <c r="C186">
        <v>1.6999999999999999E-3</v>
      </c>
      <c r="D186">
        <v>5.4000000000000003E-3</v>
      </c>
      <c r="E186">
        <v>4946179</v>
      </c>
      <c r="F186">
        <v>12375480</v>
      </c>
      <c r="G186" t="s">
        <v>144</v>
      </c>
      <c r="H186">
        <v>2900000000</v>
      </c>
      <c r="I186">
        <f t="shared" si="6"/>
        <v>1.6908693057489555E-3</v>
      </c>
      <c r="J186" s="84">
        <f t="shared" si="7"/>
        <v>9.1306942510444456E-6</v>
      </c>
      <c r="K186" t="str">
        <f t="shared" si="8"/>
        <v>Up to $10</v>
      </c>
    </row>
    <row r="187" spans="1:11" x14ac:dyDescent="0.35">
      <c r="A187" t="s">
        <v>409</v>
      </c>
      <c r="B187" t="s">
        <v>410</v>
      </c>
      <c r="C187">
        <v>0.7026</v>
      </c>
      <c r="D187">
        <v>1.18E-2</v>
      </c>
      <c r="E187">
        <v>4931501</v>
      </c>
      <c r="F187">
        <v>24261</v>
      </c>
      <c r="G187" t="s">
        <v>145</v>
      </c>
      <c r="H187">
        <v>7010000</v>
      </c>
      <c r="I187">
        <f t="shared" si="6"/>
        <v>0.694406009092706</v>
      </c>
      <c r="J187" s="84">
        <f t="shared" si="7"/>
        <v>8.193990907294002E-3</v>
      </c>
      <c r="K187" t="str">
        <f t="shared" si="8"/>
        <v>Up to $10</v>
      </c>
    </row>
    <row r="188" spans="1:11" x14ac:dyDescent="0.35">
      <c r="A188" t="s">
        <v>411</v>
      </c>
      <c r="B188" t="s">
        <v>412</v>
      </c>
      <c r="C188">
        <v>0.35560000000000003</v>
      </c>
      <c r="D188">
        <v>4.0000000000000002E-4</v>
      </c>
      <c r="E188">
        <v>4929814</v>
      </c>
      <c r="F188">
        <v>584219</v>
      </c>
      <c r="G188" t="s">
        <v>145</v>
      </c>
      <c r="H188">
        <v>13850000</v>
      </c>
      <c r="I188">
        <f t="shared" si="6"/>
        <v>0.35545781687325073</v>
      </c>
      <c r="J188" s="84">
        <f t="shared" si="7"/>
        <v>1.4218312674929567E-4</v>
      </c>
      <c r="K188" t="str">
        <f t="shared" si="8"/>
        <v>Up to $10</v>
      </c>
    </row>
    <row r="189" spans="1:11" x14ac:dyDescent="0.35">
      <c r="A189" t="s">
        <v>413</v>
      </c>
      <c r="B189" t="s">
        <v>414</v>
      </c>
      <c r="C189">
        <v>1127.72</v>
      </c>
      <c r="D189">
        <v>8.9999999999999998E-4</v>
      </c>
      <c r="E189">
        <v>4912670</v>
      </c>
      <c r="F189">
        <v>3519520</v>
      </c>
      <c r="G189" t="s">
        <v>145</v>
      </c>
      <c r="H189">
        <v>4350</v>
      </c>
      <c r="I189">
        <f t="shared" si="6"/>
        <v>1126.7059646318314</v>
      </c>
      <c r="J189" s="84">
        <f t="shared" si="7"/>
        <v>1.0140353681686065</v>
      </c>
      <c r="K189" t="str">
        <f t="shared" si="8"/>
        <v>&gt;= $10</v>
      </c>
    </row>
    <row r="190" spans="1:11" x14ac:dyDescent="0.35">
      <c r="A190" t="s">
        <v>415</v>
      </c>
      <c r="B190" t="s">
        <v>416</v>
      </c>
      <c r="C190">
        <v>2.0000000000000001E-4</v>
      </c>
      <c r="D190">
        <v>3.8E-3</v>
      </c>
      <c r="E190">
        <v>4905997</v>
      </c>
      <c r="F190">
        <v>64300</v>
      </c>
      <c r="G190" t="s">
        <v>145</v>
      </c>
      <c r="H190">
        <v>21000000000</v>
      </c>
      <c r="I190">
        <f t="shared" si="6"/>
        <v>1.9924287706714485E-4</v>
      </c>
      <c r="J190" s="84">
        <f t="shared" si="7"/>
        <v>7.5712293285515905E-7</v>
      </c>
      <c r="K190" t="str">
        <f t="shared" si="8"/>
        <v>Up to $10</v>
      </c>
    </row>
    <row r="191" spans="1:11" x14ac:dyDescent="0.35">
      <c r="A191" t="s">
        <v>107</v>
      </c>
      <c r="B191" t="s">
        <v>108</v>
      </c>
      <c r="C191">
        <v>3.3E-3</v>
      </c>
      <c r="D191">
        <v>2.8999999999999998E-3</v>
      </c>
      <c r="E191">
        <v>4896055</v>
      </c>
      <c r="F191">
        <v>7528812</v>
      </c>
      <c r="G191" t="s">
        <v>145</v>
      </c>
      <c r="H191">
        <v>1480000000</v>
      </c>
      <c r="I191">
        <f t="shared" si="6"/>
        <v>3.290457672749028E-3</v>
      </c>
      <c r="J191" s="84">
        <f t="shared" si="7"/>
        <v>9.5423272509719513E-6</v>
      </c>
      <c r="K191" t="str">
        <f t="shared" si="8"/>
        <v>Up to $10</v>
      </c>
    </row>
    <row r="192" spans="1:11" x14ac:dyDescent="0.35">
      <c r="A192" t="s">
        <v>105</v>
      </c>
      <c r="B192" t="s">
        <v>106</v>
      </c>
      <c r="C192">
        <v>8.3000000000000001E-3</v>
      </c>
      <c r="D192">
        <v>3.2500000000000001E-2</v>
      </c>
      <c r="E192">
        <v>4876890</v>
      </c>
      <c r="F192">
        <v>38307907</v>
      </c>
      <c r="G192" t="s">
        <v>145</v>
      </c>
      <c r="H192">
        <v>585640000</v>
      </c>
      <c r="I192">
        <f t="shared" si="6"/>
        <v>8.038740920096852E-3</v>
      </c>
      <c r="J192" s="84">
        <f t="shared" si="7"/>
        <v>2.6125907990314813E-4</v>
      </c>
      <c r="K192" t="str">
        <f t="shared" si="8"/>
        <v>Up to $10</v>
      </c>
    </row>
    <row r="193" spans="1:11" x14ac:dyDescent="0.35">
      <c r="A193" t="s">
        <v>417</v>
      </c>
      <c r="B193" t="s">
        <v>418</v>
      </c>
      <c r="C193">
        <v>1.89E-2</v>
      </c>
      <c r="D193">
        <v>1.9400000000000001E-2</v>
      </c>
      <c r="E193">
        <v>3976367</v>
      </c>
      <c r="F193">
        <v>217259</v>
      </c>
      <c r="G193" t="s">
        <v>145</v>
      </c>
      <c r="H193">
        <v>209900000</v>
      </c>
      <c r="I193">
        <f t="shared" si="6"/>
        <v>1.854031783402001E-2</v>
      </c>
      <c r="J193" s="84">
        <f t="shared" si="7"/>
        <v>3.5968216597999023E-4</v>
      </c>
      <c r="K193" t="str">
        <f t="shared" si="8"/>
        <v>Up to $10</v>
      </c>
    </row>
    <row r="194" spans="1:11" x14ac:dyDescent="0.35">
      <c r="A194" t="s">
        <v>99</v>
      </c>
      <c r="B194" t="s">
        <v>100</v>
      </c>
      <c r="C194">
        <v>4.0000000000000002E-4</v>
      </c>
      <c r="D194">
        <v>7.7499999999999999E-2</v>
      </c>
      <c r="E194">
        <v>3972245</v>
      </c>
      <c r="F194">
        <v>378834</v>
      </c>
      <c r="G194" t="s">
        <v>145</v>
      </c>
      <c r="H194">
        <v>8880000000</v>
      </c>
      <c r="I194">
        <f t="shared" ref="I194:I257" si="9">C194/(1+D194)</f>
        <v>3.7122969837587015E-4</v>
      </c>
      <c r="J194" s="84">
        <f t="shared" ref="J194:J257" si="10">C194-I194</f>
        <v>2.8770301624129872E-5</v>
      </c>
      <c r="K194" t="str">
        <f t="shared" ref="K194:K257" si="11">IF(C194&lt;10,"Up to $10","&gt;= $10")</f>
        <v>Up to $10</v>
      </c>
    </row>
    <row r="195" spans="1:11" x14ac:dyDescent="0.35">
      <c r="A195" t="s">
        <v>419</v>
      </c>
      <c r="B195" t="s">
        <v>420</v>
      </c>
      <c r="C195">
        <v>7.1999999999999998E-3</v>
      </c>
      <c r="D195">
        <v>1.4999999999999999E-2</v>
      </c>
      <c r="E195">
        <v>3974558</v>
      </c>
      <c r="F195">
        <v>32371110</v>
      </c>
      <c r="G195" t="s">
        <v>144</v>
      </c>
      <c r="H195">
        <v>550320000</v>
      </c>
      <c r="I195">
        <f t="shared" si="9"/>
        <v>7.0935960591133008E-3</v>
      </c>
      <c r="J195" s="84">
        <f t="shared" si="10"/>
        <v>1.0640394088669899E-4</v>
      </c>
      <c r="K195" t="str">
        <f t="shared" si="11"/>
        <v>Up to $10</v>
      </c>
    </row>
    <row r="196" spans="1:11" x14ac:dyDescent="0.35">
      <c r="A196" t="s">
        <v>421</v>
      </c>
      <c r="B196" t="s">
        <v>422</v>
      </c>
      <c r="C196">
        <v>1.7600000000000001E-2</v>
      </c>
      <c r="D196">
        <v>4.0000000000000002E-4</v>
      </c>
      <c r="E196">
        <v>3967959</v>
      </c>
      <c r="F196">
        <v>852975</v>
      </c>
      <c r="G196" t="s">
        <v>144</v>
      </c>
      <c r="H196">
        <v>224750000</v>
      </c>
      <c r="I196">
        <f t="shared" si="9"/>
        <v>1.7592962814874054E-2</v>
      </c>
      <c r="J196" s="84">
        <f t="shared" si="10"/>
        <v>7.0371851259472262E-6</v>
      </c>
      <c r="K196" t="str">
        <f t="shared" si="11"/>
        <v>Up to $10</v>
      </c>
    </row>
    <row r="197" spans="1:11" x14ac:dyDescent="0.35">
      <c r="A197" t="s">
        <v>423</v>
      </c>
      <c r="B197" t="s">
        <v>424</v>
      </c>
      <c r="C197">
        <v>8.0000000000000004E-4</v>
      </c>
      <c r="D197">
        <v>7.6E-3</v>
      </c>
      <c r="E197">
        <v>3941581</v>
      </c>
      <c r="F197">
        <v>8521023</v>
      </c>
      <c r="G197" t="s">
        <v>145</v>
      </c>
      <c r="H197">
        <v>4810000000</v>
      </c>
      <c r="I197">
        <f t="shared" si="9"/>
        <v>7.9396585946804284E-4</v>
      </c>
      <c r="J197" s="84">
        <f t="shared" si="10"/>
        <v>6.0341405319571956E-6</v>
      </c>
      <c r="K197" t="str">
        <f t="shared" si="11"/>
        <v>Up to $10</v>
      </c>
    </row>
    <row r="198" spans="1:11" x14ac:dyDescent="0.35">
      <c r="A198" t="s">
        <v>425</v>
      </c>
      <c r="B198" t="s">
        <v>426</v>
      </c>
      <c r="C198">
        <v>0</v>
      </c>
      <c r="D198">
        <v>2.3E-3</v>
      </c>
      <c r="E198">
        <v>3919929</v>
      </c>
      <c r="F198">
        <v>6403</v>
      </c>
      <c r="G198" t="s">
        <v>145</v>
      </c>
      <c r="H198">
        <v>119640000000</v>
      </c>
      <c r="I198">
        <f t="shared" si="9"/>
        <v>0</v>
      </c>
      <c r="J198" s="84">
        <f t="shared" si="10"/>
        <v>0</v>
      </c>
      <c r="K198" t="str">
        <f t="shared" si="11"/>
        <v>Up to $10</v>
      </c>
    </row>
    <row r="199" spans="1:11" x14ac:dyDescent="0.35">
      <c r="A199" t="s">
        <v>427</v>
      </c>
      <c r="B199" t="s">
        <v>428</v>
      </c>
      <c r="C199">
        <v>4.4000000000000003E-3</v>
      </c>
      <c r="D199">
        <v>8.0000000000000004E-4</v>
      </c>
      <c r="E199">
        <v>3905453</v>
      </c>
      <c r="F199">
        <v>995138</v>
      </c>
      <c r="G199" t="s">
        <v>145</v>
      </c>
      <c r="H199">
        <v>878820000</v>
      </c>
      <c r="I199">
        <f t="shared" si="9"/>
        <v>4.3964828137490015E-3</v>
      </c>
      <c r="J199" s="84">
        <f t="shared" si="10"/>
        <v>3.517186250998755E-6</v>
      </c>
      <c r="K199" t="str">
        <f t="shared" si="11"/>
        <v>Up to $10</v>
      </c>
    </row>
    <row r="200" spans="1:11" x14ac:dyDescent="0.35">
      <c r="A200" t="s">
        <v>429</v>
      </c>
      <c r="B200" t="s">
        <v>430</v>
      </c>
      <c r="C200">
        <v>8.3900000000000002E-2</v>
      </c>
      <c r="D200">
        <v>5.9999999999999995E-4</v>
      </c>
      <c r="E200">
        <v>3884725</v>
      </c>
      <c r="F200">
        <v>2597815</v>
      </c>
      <c r="G200" t="s">
        <v>144</v>
      </c>
      <c r="I200">
        <f t="shared" si="9"/>
        <v>8.3849690185888476E-2</v>
      </c>
      <c r="J200" s="84">
        <f t="shared" si="10"/>
        <v>5.0309814111526574E-5</v>
      </c>
      <c r="K200" t="str">
        <f t="shared" si="11"/>
        <v>Up to $10</v>
      </c>
    </row>
    <row r="201" spans="1:11" x14ac:dyDescent="0.35">
      <c r="A201" t="s">
        <v>113</v>
      </c>
      <c r="B201" t="s">
        <v>114</v>
      </c>
      <c r="C201">
        <v>8.2000000000000007E-3</v>
      </c>
      <c r="D201">
        <v>7.1000000000000004E-3</v>
      </c>
      <c r="E201">
        <v>3882095</v>
      </c>
      <c r="F201">
        <v>207968</v>
      </c>
      <c r="G201" t="s">
        <v>145</v>
      </c>
      <c r="H201">
        <v>471420000</v>
      </c>
      <c r="I201">
        <f t="shared" si="9"/>
        <v>8.142190447820474E-3</v>
      </c>
      <c r="J201" s="84">
        <f t="shared" si="10"/>
        <v>5.7809552179526741E-5</v>
      </c>
      <c r="K201" t="str">
        <f t="shared" si="11"/>
        <v>Up to $10</v>
      </c>
    </row>
    <row r="202" spans="1:11" x14ac:dyDescent="0.35">
      <c r="A202" t="s">
        <v>431</v>
      </c>
      <c r="B202" t="s">
        <v>432</v>
      </c>
      <c r="C202">
        <v>5.9999999999999995E-4</v>
      </c>
      <c r="D202">
        <v>1.7500000000000002E-2</v>
      </c>
      <c r="E202">
        <v>3869077</v>
      </c>
      <c r="F202">
        <v>1872715</v>
      </c>
      <c r="G202" t="s">
        <v>144</v>
      </c>
      <c r="H202">
        <v>6830000000</v>
      </c>
      <c r="I202">
        <f t="shared" si="9"/>
        <v>5.896805896805896E-4</v>
      </c>
      <c r="J202" s="84">
        <f t="shared" si="10"/>
        <v>1.0319410319410346E-5</v>
      </c>
      <c r="K202" t="str">
        <f t="shared" si="11"/>
        <v>Up to $10</v>
      </c>
    </row>
    <row r="203" spans="1:11" x14ac:dyDescent="0.35">
      <c r="A203" t="s">
        <v>433</v>
      </c>
      <c r="B203" t="s">
        <v>434</v>
      </c>
      <c r="C203">
        <v>0.17349999999999999</v>
      </c>
      <c r="D203">
        <v>4.3E-3</v>
      </c>
      <c r="E203">
        <v>3878272</v>
      </c>
      <c r="F203">
        <v>1740419</v>
      </c>
      <c r="G203" t="s">
        <v>145</v>
      </c>
      <c r="H203">
        <v>22340000</v>
      </c>
      <c r="I203">
        <f t="shared" si="9"/>
        <v>0.17275714427959774</v>
      </c>
      <c r="J203" s="84">
        <f t="shared" si="10"/>
        <v>7.4285572040225234E-4</v>
      </c>
      <c r="K203" t="str">
        <f t="shared" si="11"/>
        <v>Up to $10</v>
      </c>
    </row>
    <row r="204" spans="1:11" x14ac:dyDescent="0.35">
      <c r="A204" t="s">
        <v>111</v>
      </c>
      <c r="B204" t="s">
        <v>112</v>
      </c>
      <c r="C204">
        <v>80.25</v>
      </c>
      <c r="D204">
        <v>4.3E-3</v>
      </c>
      <c r="E204">
        <v>3861791</v>
      </c>
      <c r="F204">
        <v>2343933</v>
      </c>
      <c r="G204" t="s">
        <v>144</v>
      </c>
      <c r="H204">
        <v>48110</v>
      </c>
      <c r="I204">
        <f t="shared" si="9"/>
        <v>79.906402469381661</v>
      </c>
      <c r="J204" s="84">
        <f t="shared" si="10"/>
        <v>0.34359753061833942</v>
      </c>
      <c r="K204" t="str">
        <f t="shared" si="11"/>
        <v>&gt;= $10</v>
      </c>
    </row>
    <row r="205" spans="1:11" x14ac:dyDescent="0.35">
      <c r="A205" t="s">
        <v>435</v>
      </c>
      <c r="B205" t="s">
        <v>436</v>
      </c>
      <c r="C205">
        <v>2.5700000000000001E-2</v>
      </c>
      <c r="D205">
        <v>9.5999999999999992E-3</v>
      </c>
      <c r="E205">
        <v>3856893</v>
      </c>
      <c r="F205">
        <v>1776</v>
      </c>
      <c r="G205" t="s">
        <v>144</v>
      </c>
      <c r="H205">
        <v>149990000</v>
      </c>
      <c r="I205">
        <f t="shared" si="9"/>
        <v>2.5455625990491282E-2</v>
      </c>
      <c r="J205" s="84">
        <f t="shared" si="10"/>
        <v>2.4437400950871879E-4</v>
      </c>
      <c r="K205" t="str">
        <f t="shared" si="11"/>
        <v>Up to $10</v>
      </c>
    </row>
    <row r="206" spans="1:11" x14ac:dyDescent="0.35">
      <c r="A206" t="s">
        <v>115</v>
      </c>
      <c r="B206" t="s">
        <v>116</v>
      </c>
      <c r="C206">
        <v>5.9200000000000003E-2</v>
      </c>
      <c r="D206">
        <v>1.5E-3</v>
      </c>
      <c r="E206">
        <v>3856893</v>
      </c>
      <c r="F206">
        <v>401875</v>
      </c>
      <c r="G206" t="s">
        <v>145</v>
      </c>
      <c r="H206">
        <v>417210000000</v>
      </c>
      <c r="I206">
        <f t="shared" si="9"/>
        <v>5.9111333000499248E-2</v>
      </c>
      <c r="J206" s="84">
        <f t="shared" si="10"/>
        <v>8.8666999500754129E-5</v>
      </c>
      <c r="K206" t="str">
        <f t="shared" si="11"/>
        <v>Up to $10</v>
      </c>
    </row>
    <row r="207" spans="1:11" x14ac:dyDescent="0.35">
      <c r="A207" t="s">
        <v>117</v>
      </c>
      <c r="B207" t="s">
        <v>118</v>
      </c>
      <c r="C207">
        <v>1.4500000000000001E-2</v>
      </c>
      <c r="D207">
        <v>1.4E-3</v>
      </c>
      <c r="E207">
        <v>3083850</v>
      </c>
      <c r="F207">
        <v>182797</v>
      </c>
      <c r="G207" t="s">
        <v>144</v>
      </c>
      <c r="H207">
        <v>213140000</v>
      </c>
      <c r="I207">
        <f t="shared" si="9"/>
        <v>1.4479728380267625E-2</v>
      </c>
      <c r="J207" s="84">
        <f t="shared" si="10"/>
        <v>2.0271619732375318E-5</v>
      </c>
      <c r="K207" t="str">
        <f t="shared" si="11"/>
        <v>Up to $10</v>
      </c>
    </row>
    <row r="208" spans="1:11" x14ac:dyDescent="0.35">
      <c r="A208" t="s">
        <v>437</v>
      </c>
      <c r="B208" t="s">
        <v>438</v>
      </c>
      <c r="C208">
        <v>6.6E-3</v>
      </c>
      <c r="D208">
        <v>2.5999999999999999E-3</v>
      </c>
      <c r="E208">
        <v>3064880</v>
      </c>
      <c r="F208">
        <v>302690</v>
      </c>
      <c r="G208" t="s">
        <v>144</v>
      </c>
      <c r="H208">
        <v>464390000</v>
      </c>
      <c r="I208">
        <f t="shared" si="9"/>
        <v>6.5828845002992228E-3</v>
      </c>
      <c r="J208" s="84">
        <f t="shared" si="10"/>
        <v>1.7115499700777123E-5</v>
      </c>
      <c r="K208" t="str">
        <f t="shared" si="11"/>
        <v>Up to $10</v>
      </c>
    </row>
    <row r="209" spans="1:11" x14ac:dyDescent="0.35">
      <c r="A209" t="s">
        <v>119</v>
      </c>
      <c r="B209" t="s">
        <v>120</v>
      </c>
      <c r="C209">
        <v>5.8099999999999999E-2</v>
      </c>
      <c r="D209">
        <v>2.9999999999999997E-4</v>
      </c>
      <c r="E209">
        <v>3063211</v>
      </c>
      <c r="F209">
        <v>217674</v>
      </c>
      <c r="G209" t="s">
        <v>144</v>
      </c>
      <c r="H209">
        <v>52740000</v>
      </c>
      <c r="I209">
        <f t="shared" si="9"/>
        <v>5.8082575227431772E-2</v>
      </c>
      <c r="J209" s="84">
        <f t="shared" si="10"/>
        <v>1.7424772568226665E-5</v>
      </c>
      <c r="K209" t="str">
        <f t="shared" si="11"/>
        <v>Up to $10</v>
      </c>
    </row>
    <row r="210" spans="1:11" x14ac:dyDescent="0.35">
      <c r="A210" t="s">
        <v>439</v>
      </c>
      <c r="B210" t="s">
        <v>440</v>
      </c>
      <c r="C210">
        <v>1.6199999999999999E-2</v>
      </c>
      <c r="D210">
        <v>1.1999999999999999E-3</v>
      </c>
      <c r="E210">
        <v>3045908</v>
      </c>
      <c r="F210">
        <v>51982</v>
      </c>
      <c r="G210" t="s">
        <v>144</v>
      </c>
      <c r="H210">
        <v>187760000</v>
      </c>
      <c r="I210">
        <f t="shared" si="9"/>
        <v>1.618058330003995E-2</v>
      </c>
      <c r="J210" s="84">
        <f t="shared" si="10"/>
        <v>1.9416699960049522E-5</v>
      </c>
      <c r="K210" t="str">
        <f t="shared" si="11"/>
        <v>Up to $10</v>
      </c>
    </row>
    <row r="211" spans="1:11" x14ac:dyDescent="0.35">
      <c r="A211" t="s">
        <v>441</v>
      </c>
      <c r="B211" t="s">
        <v>442</v>
      </c>
      <c r="C211">
        <v>5.0000000000000001E-4</v>
      </c>
      <c r="D211">
        <v>7.9000000000000008E-3</v>
      </c>
      <c r="E211">
        <v>3038724</v>
      </c>
      <c r="F211">
        <v>34550</v>
      </c>
      <c r="G211" t="s">
        <v>145</v>
      </c>
      <c r="H211">
        <v>5980000000</v>
      </c>
      <c r="I211">
        <f t="shared" si="9"/>
        <v>4.9608096041273933E-4</v>
      </c>
      <c r="J211" s="84">
        <f t="shared" si="10"/>
        <v>3.9190395872606759E-6</v>
      </c>
      <c r="K211" t="str">
        <f t="shared" si="11"/>
        <v>Up to $10</v>
      </c>
    </row>
    <row r="212" spans="1:11" x14ac:dyDescent="0.35">
      <c r="A212" t="s">
        <v>443</v>
      </c>
      <c r="B212" t="s">
        <v>444</v>
      </c>
      <c r="C212">
        <v>5.0000000000000001E-4</v>
      </c>
      <c r="D212">
        <v>1.6299999999999999E-2</v>
      </c>
      <c r="E212">
        <v>3045265</v>
      </c>
      <c r="F212">
        <v>97858</v>
      </c>
      <c r="G212" t="s">
        <v>145</v>
      </c>
      <c r="H212">
        <v>6070000000</v>
      </c>
      <c r="I212">
        <f t="shared" si="9"/>
        <v>4.9198071435599725E-4</v>
      </c>
      <c r="J212" s="84">
        <f t="shared" si="10"/>
        <v>8.0192856440027601E-6</v>
      </c>
      <c r="K212" t="str">
        <f t="shared" si="11"/>
        <v>Up to $10</v>
      </c>
    </row>
    <row r="213" spans="1:11" x14ac:dyDescent="0.35">
      <c r="A213" t="s">
        <v>445</v>
      </c>
      <c r="B213" t="s">
        <v>446</v>
      </c>
      <c r="C213">
        <v>1E-4</v>
      </c>
      <c r="D213">
        <v>1.0500000000000001E-2</v>
      </c>
      <c r="E213">
        <v>3030258</v>
      </c>
      <c r="F213">
        <v>91287</v>
      </c>
      <c r="G213" t="s">
        <v>145</v>
      </c>
      <c r="H213">
        <v>23470000000</v>
      </c>
      <c r="I213">
        <f t="shared" si="9"/>
        <v>9.8960910440376058E-5</v>
      </c>
      <c r="J213" s="84">
        <f t="shared" si="10"/>
        <v>1.0390895596239463E-6</v>
      </c>
      <c r="K213" t="str">
        <f t="shared" si="11"/>
        <v>Up to $10</v>
      </c>
    </row>
    <row r="214" spans="1:11" x14ac:dyDescent="0.35">
      <c r="A214" t="s">
        <v>447</v>
      </c>
      <c r="B214" t="s">
        <v>448</v>
      </c>
      <c r="C214">
        <v>74.599999999999994</v>
      </c>
      <c r="D214">
        <v>2.8999999999999998E-3</v>
      </c>
      <c r="E214">
        <v>3022812</v>
      </c>
      <c r="F214">
        <v>758633</v>
      </c>
      <c r="G214" t="s">
        <v>145</v>
      </c>
      <c r="H214">
        <v>40510</v>
      </c>
      <c r="I214">
        <f t="shared" si="9"/>
        <v>74.384285571841659</v>
      </c>
      <c r="J214" s="84">
        <f t="shared" si="10"/>
        <v>0.21571442815833564</v>
      </c>
      <c r="K214" t="str">
        <f t="shared" si="11"/>
        <v>&gt;= $10</v>
      </c>
    </row>
    <row r="215" spans="1:11" x14ac:dyDescent="0.35">
      <c r="A215" t="s">
        <v>121</v>
      </c>
      <c r="B215" t="s">
        <v>122</v>
      </c>
      <c r="C215">
        <v>6.1999999999999998E-3</v>
      </c>
      <c r="D215">
        <v>1.5E-3</v>
      </c>
      <c r="E215">
        <v>3017236</v>
      </c>
      <c r="F215">
        <v>164804</v>
      </c>
      <c r="G215" t="s">
        <v>144</v>
      </c>
      <c r="H215">
        <v>486500000</v>
      </c>
      <c r="I215">
        <f t="shared" si="9"/>
        <v>6.1907139291063401E-3</v>
      </c>
      <c r="J215" s="84">
        <f t="shared" si="10"/>
        <v>9.2860708936597092E-6</v>
      </c>
      <c r="K215" t="str">
        <f t="shared" si="11"/>
        <v>Up to $10</v>
      </c>
    </row>
    <row r="216" spans="1:11" x14ac:dyDescent="0.35">
      <c r="A216" t="s">
        <v>449</v>
      </c>
      <c r="B216" t="s">
        <v>450</v>
      </c>
      <c r="C216">
        <v>5.0000000000000001E-4</v>
      </c>
      <c r="D216">
        <v>1.7000000000000001E-2</v>
      </c>
      <c r="E216">
        <v>3007470</v>
      </c>
      <c r="F216">
        <v>3201669</v>
      </c>
      <c r="G216" t="s">
        <v>145</v>
      </c>
      <c r="H216">
        <v>5500000000</v>
      </c>
      <c r="I216">
        <f t="shared" si="9"/>
        <v>4.9164208456243857E-4</v>
      </c>
      <c r="J216" s="84">
        <f t="shared" si="10"/>
        <v>8.3579154375614364E-6</v>
      </c>
      <c r="K216" t="str">
        <f t="shared" si="11"/>
        <v>Up to $10</v>
      </c>
    </row>
    <row r="217" spans="1:11" x14ac:dyDescent="0.35">
      <c r="A217" t="s">
        <v>451</v>
      </c>
      <c r="B217" t="s">
        <v>452</v>
      </c>
      <c r="C217">
        <v>6.0000000000000001E-3</v>
      </c>
      <c r="D217">
        <v>3.5099999999999999E-2</v>
      </c>
      <c r="E217">
        <v>3006189</v>
      </c>
      <c r="F217">
        <v>120681</v>
      </c>
      <c r="G217" t="s">
        <v>144</v>
      </c>
      <c r="H217">
        <v>500000000</v>
      </c>
      <c r="I217">
        <f t="shared" si="9"/>
        <v>5.7965413969664776E-3</v>
      </c>
      <c r="J217" s="84">
        <f t="shared" si="10"/>
        <v>2.0345860303352253E-4</v>
      </c>
      <c r="K217" t="str">
        <f t="shared" si="11"/>
        <v>Up to $10</v>
      </c>
    </row>
    <row r="218" spans="1:11" x14ac:dyDescent="0.35">
      <c r="A218" t="s">
        <v>453</v>
      </c>
      <c r="B218" t="s">
        <v>454</v>
      </c>
      <c r="C218">
        <v>8.0999999999999996E-3</v>
      </c>
      <c r="D218">
        <v>4.0000000000000002E-4</v>
      </c>
      <c r="E218">
        <v>2987092</v>
      </c>
      <c r="F218">
        <v>1</v>
      </c>
      <c r="G218" t="s">
        <v>144</v>
      </c>
      <c r="H218">
        <v>370770000</v>
      </c>
      <c r="I218">
        <f t="shared" si="9"/>
        <v>8.0967612954818066E-3</v>
      </c>
      <c r="J218" s="84">
        <f t="shared" si="10"/>
        <v>3.2387045181929419E-6</v>
      </c>
      <c r="K218" t="str">
        <f t="shared" si="11"/>
        <v>Up to $10</v>
      </c>
    </row>
    <row r="219" spans="1:11" x14ac:dyDescent="0.35">
      <c r="A219" t="s">
        <v>455</v>
      </c>
      <c r="B219" t="s">
        <v>456</v>
      </c>
      <c r="C219">
        <v>3.8999999999999998E-3</v>
      </c>
      <c r="D219">
        <v>2.5999999999999999E-3</v>
      </c>
      <c r="E219">
        <v>2984414</v>
      </c>
      <c r="F219">
        <v>1315722</v>
      </c>
      <c r="G219" t="s">
        <v>144</v>
      </c>
      <c r="H219">
        <v>766340000</v>
      </c>
      <c r="I219">
        <f t="shared" si="9"/>
        <v>3.8898862956313588E-3</v>
      </c>
      <c r="J219" s="84">
        <f t="shared" si="10"/>
        <v>1.0113704368641067E-5</v>
      </c>
      <c r="K219" t="str">
        <f t="shared" si="11"/>
        <v>Up to $10</v>
      </c>
    </row>
    <row r="220" spans="1:11" x14ac:dyDescent="0.35">
      <c r="A220" t="s">
        <v>457</v>
      </c>
      <c r="B220" t="s">
        <v>458</v>
      </c>
      <c r="C220">
        <v>8.7099999999999997E-2</v>
      </c>
      <c r="D220">
        <v>0.1454</v>
      </c>
      <c r="E220">
        <v>2982813</v>
      </c>
      <c r="F220">
        <v>368122</v>
      </c>
      <c r="G220" t="s">
        <v>144</v>
      </c>
      <c r="H220">
        <v>420680000000000</v>
      </c>
      <c r="I220">
        <f t="shared" si="9"/>
        <v>7.6043303649380126E-2</v>
      </c>
      <c r="J220" s="84">
        <f t="shared" si="10"/>
        <v>1.1056696350619871E-2</v>
      </c>
      <c r="K220" t="str">
        <f t="shared" si="11"/>
        <v>Up to $10</v>
      </c>
    </row>
    <row r="221" spans="1:11" x14ac:dyDescent="0.35">
      <c r="A221" t="s">
        <v>459</v>
      </c>
      <c r="B221" t="s">
        <v>460</v>
      </c>
      <c r="C221">
        <v>3.0999999999999999E-3</v>
      </c>
      <c r="D221">
        <v>2.7199999999999998E-2</v>
      </c>
      <c r="E221">
        <v>2354870</v>
      </c>
      <c r="F221">
        <v>59813</v>
      </c>
      <c r="G221" t="s">
        <v>145</v>
      </c>
      <c r="H221">
        <v>751510000</v>
      </c>
      <c r="I221">
        <f t="shared" si="9"/>
        <v>3.0179127725856701E-3</v>
      </c>
      <c r="J221" s="84">
        <f t="shared" si="10"/>
        <v>8.2087227414329774E-5</v>
      </c>
      <c r="K221" t="str">
        <f t="shared" si="11"/>
        <v>Up to $10</v>
      </c>
    </row>
    <row r="222" spans="1:11" x14ac:dyDescent="0.35">
      <c r="A222" t="s">
        <v>461</v>
      </c>
      <c r="B222" t="s">
        <v>462</v>
      </c>
      <c r="C222">
        <v>6.4000000000000003E-3</v>
      </c>
      <c r="D222">
        <v>4.0000000000000002E-4</v>
      </c>
      <c r="E222">
        <v>2346526</v>
      </c>
      <c r="F222">
        <v>559825</v>
      </c>
      <c r="G222" t="s">
        <v>145</v>
      </c>
      <c r="H222">
        <v>368630000</v>
      </c>
      <c r="I222">
        <f t="shared" si="9"/>
        <v>6.3974410235905646E-3</v>
      </c>
      <c r="J222" s="84">
        <f t="shared" si="10"/>
        <v>2.5589764094356704E-6</v>
      </c>
      <c r="K222" t="str">
        <f t="shared" si="11"/>
        <v>Up to $10</v>
      </c>
    </row>
    <row r="223" spans="1:11" x14ac:dyDescent="0.35">
      <c r="A223" t="s">
        <v>463</v>
      </c>
      <c r="B223" t="s">
        <v>118</v>
      </c>
      <c r="C223">
        <v>2.0000000000000001E-4</v>
      </c>
      <c r="D223">
        <v>1E-3</v>
      </c>
      <c r="E223">
        <v>2337459</v>
      </c>
      <c r="F223">
        <v>433406</v>
      </c>
      <c r="G223" t="s">
        <v>145</v>
      </c>
      <c r="H223">
        <v>10260000000</v>
      </c>
      <c r="I223">
        <f t="shared" si="9"/>
        <v>1.9980019980019983E-4</v>
      </c>
      <c r="J223" s="84">
        <f t="shared" si="10"/>
        <v>1.9980019980018245E-7</v>
      </c>
      <c r="K223" t="str">
        <f t="shared" si="11"/>
        <v>Up to $10</v>
      </c>
    </row>
    <row r="224" spans="1:11" x14ac:dyDescent="0.35">
      <c r="A224" t="s">
        <v>464</v>
      </c>
      <c r="B224" t="s">
        <v>465</v>
      </c>
      <c r="C224">
        <v>2.0999999999999999E-3</v>
      </c>
      <c r="D224">
        <v>7.1000000000000004E-3</v>
      </c>
      <c r="E224">
        <v>2336239</v>
      </c>
      <c r="F224">
        <v>237806</v>
      </c>
      <c r="G224" t="s">
        <v>144</v>
      </c>
      <c r="H224">
        <v>1130000000</v>
      </c>
      <c r="I224">
        <f t="shared" si="9"/>
        <v>2.0851951146857312E-3</v>
      </c>
      <c r="J224" s="84">
        <f t="shared" si="10"/>
        <v>1.4804885314268715E-5</v>
      </c>
      <c r="K224" t="str">
        <f t="shared" si="11"/>
        <v>Up to $10</v>
      </c>
    </row>
    <row r="225" spans="1:11" x14ac:dyDescent="0.35">
      <c r="A225" t="s">
        <v>466</v>
      </c>
      <c r="B225" t="s">
        <v>467</v>
      </c>
      <c r="C225">
        <v>5.0000000000000001E-4</v>
      </c>
      <c r="D225">
        <v>9.5999999999999992E-3</v>
      </c>
      <c r="E225">
        <v>2312857</v>
      </c>
      <c r="F225">
        <v>48313</v>
      </c>
      <c r="G225" t="s">
        <v>145</v>
      </c>
      <c r="H225">
        <v>4680000000</v>
      </c>
      <c r="I225">
        <f t="shared" si="9"/>
        <v>4.9524564183835184E-4</v>
      </c>
      <c r="J225" s="84">
        <f t="shared" si="10"/>
        <v>4.754358161648169E-6</v>
      </c>
      <c r="K225" t="str">
        <f t="shared" si="11"/>
        <v>Up to $10</v>
      </c>
    </row>
    <row r="226" spans="1:11" x14ac:dyDescent="0.35">
      <c r="A226" t="s">
        <v>468</v>
      </c>
      <c r="B226" t="s">
        <v>75</v>
      </c>
      <c r="C226">
        <v>6.13E-2</v>
      </c>
      <c r="D226">
        <v>1E-4</v>
      </c>
      <c r="E226">
        <v>2320829</v>
      </c>
      <c r="F226">
        <v>239</v>
      </c>
      <c r="G226" t="s">
        <v>145</v>
      </c>
      <c r="H226">
        <v>18410000000000</v>
      </c>
      <c r="I226">
        <f t="shared" si="9"/>
        <v>6.1293870612938707E-2</v>
      </c>
      <c r="J226" s="84">
        <f t="shared" si="10"/>
        <v>6.1293870612932899E-6</v>
      </c>
      <c r="K226" t="str">
        <f t="shared" si="11"/>
        <v>Up to $10</v>
      </c>
    </row>
    <row r="227" spans="1:11" x14ac:dyDescent="0.35">
      <c r="A227" t="s">
        <v>469</v>
      </c>
      <c r="B227" t="s">
        <v>470</v>
      </c>
      <c r="C227">
        <v>0.46160000000000001</v>
      </c>
      <c r="D227">
        <v>1E-4</v>
      </c>
      <c r="E227">
        <v>2308183</v>
      </c>
      <c r="F227">
        <v>7901</v>
      </c>
      <c r="G227" t="s">
        <v>144</v>
      </c>
      <c r="H227">
        <v>4990000</v>
      </c>
      <c r="I227">
        <f t="shared" si="9"/>
        <v>0.46155384461553844</v>
      </c>
      <c r="J227" s="84">
        <f t="shared" si="10"/>
        <v>4.6155384461565863E-5</v>
      </c>
      <c r="K227" t="str">
        <f t="shared" si="11"/>
        <v>Up to $10</v>
      </c>
    </row>
    <row r="228" spans="1:11" x14ac:dyDescent="0.35">
      <c r="A228" t="s">
        <v>471</v>
      </c>
      <c r="B228" t="s">
        <v>472</v>
      </c>
      <c r="C228">
        <v>3.5000000000000001E-3</v>
      </c>
      <c r="D228">
        <v>3.3799999999999997E-2</v>
      </c>
      <c r="E228">
        <v>2308047</v>
      </c>
      <c r="F228">
        <v>17602</v>
      </c>
      <c r="G228" t="s">
        <v>144</v>
      </c>
      <c r="H228">
        <v>664000000</v>
      </c>
      <c r="I228">
        <f t="shared" si="9"/>
        <v>3.3855678080866704E-3</v>
      </c>
      <c r="J228" s="84">
        <f t="shared" si="10"/>
        <v>1.1443219191332966E-4</v>
      </c>
      <c r="K228" t="str">
        <f t="shared" si="11"/>
        <v>Up to $10</v>
      </c>
    </row>
    <row r="229" spans="1:11" x14ac:dyDescent="0.35">
      <c r="A229" t="s">
        <v>473</v>
      </c>
      <c r="B229" t="s">
        <v>474</v>
      </c>
      <c r="C229">
        <v>5.2299999999999999E-2</v>
      </c>
      <c r="D229">
        <v>1.1900000000000001E-2</v>
      </c>
      <c r="E229">
        <v>2302202</v>
      </c>
      <c r="F229">
        <v>676198</v>
      </c>
      <c r="G229" t="s">
        <v>144</v>
      </c>
      <c r="H229">
        <v>1000000000000</v>
      </c>
      <c r="I229">
        <f t="shared" si="9"/>
        <v>5.1684949105642849E-2</v>
      </c>
      <c r="J229" s="84">
        <f t="shared" si="10"/>
        <v>6.1505089435714977E-4</v>
      </c>
      <c r="K229" t="str">
        <f t="shared" si="11"/>
        <v>Up to $10</v>
      </c>
    </row>
    <row r="230" spans="1:11" x14ac:dyDescent="0.35">
      <c r="A230" t="s">
        <v>125</v>
      </c>
      <c r="B230" t="s">
        <v>126</v>
      </c>
      <c r="C230">
        <v>2.3E-3</v>
      </c>
      <c r="D230">
        <v>2.8999999999999998E-3</v>
      </c>
      <c r="E230">
        <v>2293012</v>
      </c>
      <c r="F230">
        <v>359670</v>
      </c>
      <c r="G230" t="s">
        <v>145</v>
      </c>
      <c r="H230">
        <v>995210000</v>
      </c>
      <c r="I230">
        <f t="shared" si="9"/>
        <v>2.2933492870675044E-3</v>
      </c>
      <c r="J230" s="84">
        <f t="shared" si="10"/>
        <v>6.650712932495563E-6</v>
      </c>
      <c r="K230" t="str">
        <f t="shared" si="11"/>
        <v>Up to $10</v>
      </c>
    </row>
    <row r="231" spans="1:11" x14ac:dyDescent="0.35">
      <c r="A231" t="s">
        <v>475</v>
      </c>
      <c r="B231" t="s">
        <v>476</v>
      </c>
      <c r="C231">
        <v>1.3100000000000001E-2</v>
      </c>
      <c r="D231">
        <v>4.0000000000000002E-4</v>
      </c>
      <c r="E231">
        <v>2272812</v>
      </c>
      <c r="F231">
        <v>12078</v>
      </c>
      <c r="G231" t="s">
        <v>145</v>
      </c>
      <c r="H231">
        <v>173820000</v>
      </c>
      <c r="I231">
        <f t="shared" si="9"/>
        <v>1.3094762095161937E-2</v>
      </c>
      <c r="J231" s="84">
        <f t="shared" si="10"/>
        <v>5.2379048380638005E-6</v>
      </c>
      <c r="K231" t="str">
        <f t="shared" si="11"/>
        <v>Up to $10</v>
      </c>
    </row>
    <row r="232" spans="1:11" x14ac:dyDescent="0.35">
      <c r="A232" t="s">
        <v>123</v>
      </c>
      <c r="B232" t="s">
        <v>124</v>
      </c>
      <c r="C232">
        <v>5.0000000000000001E-4</v>
      </c>
      <c r="D232">
        <v>2.9999999999999997E-4</v>
      </c>
      <c r="E232">
        <v>2270858</v>
      </c>
      <c r="F232">
        <v>1316156</v>
      </c>
      <c r="G232" t="s">
        <v>145</v>
      </c>
      <c r="H232">
        <v>4219999999.9999995</v>
      </c>
      <c r="I232">
        <f t="shared" si="9"/>
        <v>4.9985004498650403E-4</v>
      </c>
      <c r="J232" s="84">
        <f t="shared" si="10"/>
        <v>1.4995501349597973E-7</v>
      </c>
      <c r="K232" t="str">
        <f t="shared" si="11"/>
        <v>Up to $10</v>
      </c>
    </row>
    <row r="233" spans="1:11" x14ac:dyDescent="0.35">
      <c r="A233" t="s">
        <v>477</v>
      </c>
      <c r="B233" t="s">
        <v>478</v>
      </c>
      <c r="C233">
        <v>146.13999999999999</v>
      </c>
      <c r="D233">
        <v>1.8E-3</v>
      </c>
      <c r="E233">
        <v>2262957</v>
      </c>
      <c r="F233">
        <v>1825127</v>
      </c>
      <c r="G233" t="s">
        <v>145</v>
      </c>
      <c r="H233">
        <v>15480</v>
      </c>
      <c r="I233">
        <f t="shared" si="9"/>
        <v>145.87742064284288</v>
      </c>
      <c r="J233" s="84">
        <f t="shared" si="10"/>
        <v>0.26257935715710801</v>
      </c>
      <c r="K233" t="str">
        <f t="shared" si="11"/>
        <v>&gt;= $10</v>
      </c>
    </row>
    <row r="234" spans="1:11" x14ac:dyDescent="0.35">
      <c r="A234" t="s">
        <v>479</v>
      </c>
      <c r="B234" t="s">
        <v>480</v>
      </c>
      <c r="C234">
        <v>8.43E-2</v>
      </c>
      <c r="D234">
        <v>3.7999999999999999E-2</v>
      </c>
      <c r="E234">
        <v>1806964</v>
      </c>
      <c r="F234">
        <v>101991</v>
      </c>
      <c r="G234" t="s">
        <v>145</v>
      </c>
      <c r="H234">
        <v>420000000000000</v>
      </c>
      <c r="I234">
        <f t="shared" si="9"/>
        <v>8.1213872832369943E-2</v>
      </c>
      <c r="J234" s="84">
        <f t="shared" si="10"/>
        <v>3.0861271676300567E-3</v>
      </c>
      <c r="K234" t="str">
        <f t="shared" si="11"/>
        <v>Up to $10</v>
      </c>
    </row>
    <row r="235" spans="1:11" x14ac:dyDescent="0.35">
      <c r="A235" t="s">
        <v>481</v>
      </c>
      <c r="B235" t="s">
        <v>482</v>
      </c>
      <c r="C235">
        <v>9.2700000000000005E-2</v>
      </c>
      <c r="D235">
        <v>2.8999999999999998E-3</v>
      </c>
      <c r="E235">
        <v>1806691</v>
      </c>
      <c r="F235">
        <v>276756</v>
      </c>
      <c r="G235" t="s">
        <v>144</v>
      </c>
      <c r="H235">
        <v>19480000</v>
      </c>
      <c r="I235">
        <f t="shared" si="9"/>
        <v>9.2431947352677249E-2</v>
      </c>
      <c r="J235" s="84">
        <f t="shared" si="10"/>
        <v>2.6805264732275569E-4</v>
      </c>
      <c r="K235" t="str">
        <f t="shared" si="11"/>
        <v>Up to $10</v>
      </c>
    </row>
    <row r="236" spans="1:11" x14ac:dyDescent="0.35">
      <c r="A236" t="s">
        <v>483</v>
      </c>
      <c r="B236" t="s">
        <v>484</v>
      </c>
      <c r="C236">
        <v>325.76</v>
      </c>
      <c r="D236">
        <v>0</v>
      </c>
      <c r="E236">
        <v>1791774</v>
      </c>
      <c r="F236">
        <v>876284</v>
      </c>
      <c r="G236" t="s">
        <v>145</v>
      </c>
      <c r="H236">
        <v>5500</v>
      </c>
      <c r="I236">
        <f t="shared" si="9"/>
        <v>325.76</v>
      </c>
      <c r="J236" s="84">
        <f t="shared" si="10"/>
        <v>0</v>
      </c>
      <c r="K236" t="str">
        <f t="shared" si="11"/>
        <v>&gt;= $10</v>
      </c>
    </row>
    <row r="237" spans="1:11" x14ac:dyDescent="0.35">
      <c r="A237" t="s">
        <v>485</v>
      </c>
      <c r="B237" t="s">
        <v>485</v>
      </c>
      <c r="C237">
        <v>2.0000000000000001E-4</v>
      </c>
      <c r="D237">
        <v>1.09E-2</v>
      </c>
      <c r="E237">
        <v>1786533</v>
      </c>
      <c r="F237">
        <v>332122</v>
      </c>
      <c r="G237" t="s">
        <v>145</v>
      </c>
      <c r="H237">
        <v>8850000000</v>
      </c>
      <c r="I237">
        <f t="shared" si="9"/>
        <v>1.9784350578692258E-4</v>
      </c>
      <c r="J237" s="84">
        <f t="shared" si="10"/>
        <v>2.1564942130774287E-6</v>
      </c>
      <c r="K237" t="str">
        <f t="shared" si="11"/>
        <v>Up to $10</v>
      </c>
    </row>
    <row r="238" spans="1:11" x14ac:dyDescent="0.35">
      <c r="A238" t="s">
        <v>486</v>
      </c>
      <c r="B238" t="s">
        <v>487</v>
      </c>
      <c r="C238">
        <v>1E-3</v>
      </c>
      <c r="D238">
        <v>4.7999999999999996E-3</v>
      </c>
      <c r="E238">
        <v>1782399</v>
      </c>
      <c r="F238">
        <v>81591</v>
      </c>
      <c r="G238" t="s">
        <v>145</v>
      </c>
      <c r="H238">
        <v>1820000000</v>
      </c>
      <c r="I238">
        <f t="shared" si="9"/>
        <v>9.9522292993630595E-4</v>
      </c>
      <c r="J238" s="84">
        <f t="shared" si="10"/>
        <v>4.7770700636940756E-6</v>
      </c>
      <c r="K238" t="str">
        <f t="shared" si="11"/>
        <v>Up to $10</v>
      </c>
    </row>
    <row r="239" spans="1:11" x14ac:dyDescent="0.35">
      <c r="A239" t="s">
        <v>488</v>
      </c>
      <c r="B239" t="s">
        <v>489</v>
      </c>
      <c r="C239">
        <v>1.26</v>
      </c>
      <c r="D239">
        <v>2.0000000000000001E-4</v>
      </c>
      <c r="E239">
        <v>1774937</v>
      </c>
      <c r="F239">
        <v>66401</v>
      </c>
      <c r="G239" t="s">
        <v>145</v>
      </c>
      <c r="H239">
        <v>1400000</v>
      </c>
      <c r="I239">
        <f t="shared" si="9"/>
        <v>1.2597480503899221</v>
      </c>
      <c r="J239" s="84">
        <f t="shared" si="10"/>
        <v>2.5194961007790617E-4</v>
      </c>
      <c r="K239" t="str">
        <f t="shared" si="11"/>
        <v>Up to $10</v>
      </c>
    </row>
    <row r="240" spans="1:11" x14ac:dyDescent="0.35">
      <c r="A240" t="s">
        <v>129</v>
      </c>
      <c r="B240" t="s">
        <v>130</v>
      </c>
      <c r="C240">
        <v>6.6E-3</v>
      </c>
      <c r="D240">
        <v>1.24E-2</v>
      </c>
      <c r="E240">
        <v>1768062</v>
      </c>
      <c r="F240">
        <v>119060</v>
      </c>
      <c r="G240" t="s">
        <v>145</v>
      </c>
      <c r="H240">
        <v>266769999.99999997</v>
      </c>
      <c r="I240">
        <f t="shared" si="9"/>
        <v>6.5191623864085347E-3</v>
      </c>
      <c r="J240" s="84">
        <f t="shared" si="10"/>
        <v>8.0837613591465234E-5</v>
      </c>
      <c r="K240" t="str">
        <f t="shared" si="11"/>
        <v>Up to $10</v>
      </c>
    </row>
    <row r="241" spans="1:11" x14ac:dyDescent="0.35">
      <c r="A241" t="s">
        <v>490</v>
      </c>
      <c r="B241" t="s">
        <v>491</v>
      </c>
      <c r="C241">
        <v>8.1799999999999998E-2</v>
      </c>
      <c r="D241">
        <v>2.0000000000000001E-4</v>
      </c>
      <c r="E241">
        <v>1764315</v>
      </c>
      <c r="F241">
        <v>115914</v>
      </c>
      <c r="G241" t="s">
        <v>145</v>
      </c>
      <c r="H241">
        <v>960420000000000</v>
      </c>
      <c r="I241">
        <f t="shared" si="9"/>
        <v>8.1783643271345727E-2</v>
      </c>
      <c r="J241" s="84">
        <f t="shared" si="10"/>
        <v>1.6356728654270958E-5</v>
      </c>
      <c r="K241" t="str">
        <f t="shared" si="11"/>
        <v>Up to $10</v>
      </c>
    </row>
    <row r="242" spans="1:11" x14ac:dyDescent="0.35">
      <c r="A242" t="s">
        <v>492</v>
      </c>
      <c r="B242" t="s">
        <v>493</v>
      </c>
      <c r="C242">
        <v>1013.86</v>
      </c>
      <c r="D242">
        <v>0</v>
      </c>
      <c r="E242">
        <v>1763126</v>
      </c>
      <c r="F242">
        <v>821507</v>
      </c>
      <c r="G242" t="s">
        <v>145</v>
      </c>
      <c r="H242">
        <v>1730</v>
      </c>
      <c r="I242">
        <f t="shared" si="9"/>
        <v>1013.86</v>
      </c>
      <c r="J242" s="84">
        <f t="shared" si="10"/>
        <v>0</v>
      </c>
      <c r="K242" t="str">
        <f t="shared" si="11"/>
        <v>&gt;= $10</v>
      </c>
    </row>
    <row r="243" spans="1:11" x14ac:dyDescent="0.35">
      <c r="A243" t="s">
        <v>127</v>
      </c>
      <c r="B243" t="s">
        <v>128</v>
      </c>
      <c r="C243">
        <v>5.0000000000000001E-3</v>
      </c>
      <c r="D243">
        <v>5.7000000000000002E-3</v>
      </c>
      <c r="E243">
        <v>1760912</v>
      </c>
      <c r="F243">
        <v>1784545</v>
      </c>
      <c r="G243" t="s">
        <v>145</v>
      </c>
      <c r="H243">
        <v>351230000</v>
      </c>
      <c r="I243">
        <f t="shared" si="9"/>
        <v>4.9716615292830866E-3</v>
      </c>
      <c r="J243" s="84">
        <f t="shared" si="10"/>
        <v>2.8338470716913512E-5</v>
      </c>
      <c r="K243" t="str">
        <f t="shared" si="11"/>
        <v>Up to $10</v>
      </c>
    </row>
    <row r="244" spans="1:11" x14ac:dyDescent="0.35">
      <c r="A244" t="s">
        <v>494</v>
      </c>
      <c r="B244" t="s">
        <v>495</v>
      </c>
      <c r="C244">
        <v>1094.1099999999999</v>
      </c>
      <c r="D244">
        <v>1E-4</v>
      </c>
      <c r="E244">
        <v>1760374</v>
      </c>
      <c r="F244">
        <v>736049</v>
      </c>
      <c r="G244" t="s">
        <v>145</v>
      </c>
      <c r="H244">
        <v>1600</v>
      </c>
      <c r="I244">
        <f t="shared" si="9"/>
        <v>1094.0005999400059</v>
      </c>
      <c r="J244" s="84">
        <f t="shared" si="10"/>
        <v>0.10940005999395908</v>
      </c>
      <c r="K244" t="str">
        <f t="shared" si="11"/>
        <v>&gt;= $10</v>
      </c>
    </row>
    <row r="245" spans="1:11" x14ac:dyDescent="0.35">
      <c r="A245" t="s">
        <v>496</v>
      </c>
      <c r="B245" t="s">
        <v>497</v>
      </c>
      <c r="C245">
        <v>5.9999999999999995E-4</v>
      </c>
      <c r="D245">
        <v>2.0999999999999999E-3</v>
      </c>
      <c r="E245">
        <v>1491710</v>
      </c>
      <c r="F245">
        <v>188215</v>
      </c>
      <c r="G245" t="s">
        <v>145</v>
      </c>
      <c r="H245">
        <v>2500000000</v>
      </c>
      <c r="I245">
        <f t="shared" si="9"/>
        <v>5.9874264045504434E-4</v>
      </c>
      <c r="J245" s="84">
        <f t="shared" si="10"/>
        <v>1.257359544955608E-6</v>
      </c>
      <c r="K245" t="str">
        <f t="shared" si="11"/>
        <v>Up to $10</v>
      </c>
    </row>
    <row r="246" spans="1:11" x14ac:dyDescent="0.35">
      <c r="A246" t="s">
        <v>498</v>
      </c>
      <c r="B246" t="s">
        <v>499</v>
      </c>
      <c r="C246">
        <v>121.03</v>
      </c>
      <c r="D246">
        <v>0</v>
      </c>
      <c r="E246">
        <v>1487510</v>
      </c>
      <c r="F246">
        <v>775875</v>
      </c>
      <c r="G246" t="s">
        <v>145</v>
      </c>
      <c r="H246">
        <v>12290</v>
      </c>
      <c r="I246">
        <f t="shared" si="9"/>
        <v>121.03</v>
      </c>
      <c r="J246" s="84">
        <f t="shared" si="10"/>
        <v>0</v>
      </c>
      <c r="K246" t="str">
        <f t="shared" si="11"/>
        <v>&gt;= $10</v>
      </c>
    </row>
    <row r="247" spans="1:11" x14ac:dyDescent="0.35">
      <c r="A247" t="s">
        <v>500</v>
      </c>
      <c r="B247" t="s">
        <v>501</v>
      </c>
      <c r="C247">
        <v>5.3E-3</v>
      </c>
      <c r="D247">
        <v>1.1000000000000001E-3</v>
      </c>
      <c r="E247">
        <v>1482423</v>
      </c>
      <c r="F247">
        <v>466345</v>
      </c>
      <c r="G247" t="s">
        <v>145</v>
      </c>
      <c r="H247">
        <v>280000000</v>
      </c>
      <c r="I247">
        <f t="shared" si="9"/>
        <v>5.2941764059534508E-3</v>
      </c>
      <c r="J247" s="84">
        <f t="shared" si="10"/>
        <v>5.8235940465492173E-6</v>
      </c>
      <c r="K247" t="str">
        <f t="shared" si="11"/>
        <v>Up to $10</v>
      </c>
    </row>
    <row r="248" spans="1:11" x14ac:dyDescent="0.35">
      <c r="A248" t="s">
        <v>502</v>
      </c>
      <c r="B248" t="s">
        <v>502</v>
      </c>
      <c r="C248">
        <v>1.6000000000000001E-3</v>
      </c>
      <c r="D248">
        <v>5.4000000000000003E-3</v>
      </c>
      <c r="E248">
        <v>1481390</v>
      </c>
      <c r="F248">
        <v>838166</v>
      </c>
      <c r="G248" t="s">
        <v>145</v>
      </c>
      <c r="H248">
        <v>899840000</v>
      </c>
      <c r="I248">
        <f t="shared" si="9"/>
        <v>1.5914064054107818E-3</v>
      </c>
      <c r="J248" s="84">
        <f t="shared" si="10"/>
        <v>8.593594589218238E-6</v>
      </c>
      <c r="K248" t="str">
        <f t="shared" si="11"/>
        <v>Up to $10</v>
      </c>
    </row>
    <row r="249" spans="1:11" x14ac:dyDescent="0.35">
      <c r="A249" t="s">
        <v>131</v>
      </c>
      <c r="B249" t="s">
        <v>132</v>
      </c>
      <c r="C249">
        <v>1.5E-3</v>
      </c>
      <c r="D249">
        <v>1.41E-2</v>
      </c>
      <c r="E249">
        <v>1477054</v>
      </c>
      <c r="F249">
        <v>1398</v>
      </c>
      <c r="G249" t="s">
        <v>145</v>
      </c>
      <c r="H249">
        <v>1000000000</v>
      </c>
      <c r="I249">
        <f t="shared" si="9"/>
        <v>1.4791440686322849E-3</v>
      </c>
      <c r="J249" s="84">
        <f t="shared" si="10"/>
        <v>2.0855931367715118E-5</v>
      </c>
      <c r="K249" t="str">
        <f t="shared" si="11"/>
        <v>Up to $10</v>
      </c>
    </row>
    <row r="250" spans="1:11" x14ac:dyDescent="0.35">
      <c r="A250" t="s">
        <v>503</v>
      </c>
      <c r="B250" t="s">
        <v>503</v>
      </c>
      <c r="C250">
        <v>1E-3</v>
      </c>
      <c r="D250">
        <v>2.5999999999999999E-3</v>
      </c>
      <c r="E250">
        <v>1472643</v>
      </c>
      <c r="F250">
        <v>290891</v>
      </c>
      <c r="G250" t="s">
        <v>145</v>
      </c>
      <c r="H250">
        <v>1420000000</v>
      </c>
      <c r="I250">
        <f t="shared" si="9"/>
        <v>9.9740674246957925E-4</v>
      </c>
      <c r="J250" s="84">
        <f t="shared" si="10"/>
        <v>2.5932575304207697E-6</v>
      </c>
      <c r="K250" t="str">
        <f t="shared" si="11"/>
        <v>Up to $10</v>
      </c>
    </row>
    <row r="251" spans="1:11" x14ac:dyDescent="0.35">
      <c r="A251" t="s">
        <v>135</v>
      </c>
      <c r="B251" t="s">
        <v>136</v>
      </c>
      <c r="C251">
        <v>2.9999999999999997E-4</v>
      </c>
      <c r="D251">
        <v>5.8400000000000001E-2</v>
      </c>
      <c r="E251">
        <v>1498720</v>
      </c>
      <c r="F251">
        <v>2985093</v>
      </c>
      <c r="G251" t="s">
        <v>145</v>
      </c>
      <c r="H251">
        <v>4570000000</v>
      </c>
      <c r="I251">
        <f t="shared" si="9"/>
        <v>2.8344671201814054E-4</v>
      </c>
      <c r="J251" s="84">
        <f t="shared" si="10"/>
        <v>1.6553287981859431E-5</v>
      </c>
      <c r="K251" t="str">
        <f t="shared" si="11"/>
        <v>Up to $10</v>
      </c>
    </row>
    <row r="252" spans="1:11" x14ac:dyDescent="0.35">
      <c r="A252" t="s">
        <v>504</v>
      </c>
      <c r="B252" t="s">
        <v>505</v>
      </c>
      <c r="C252">
        <v>0.14000000000000001</v>
      </c>
      <c r="D252">
        <v>4.4999999999999997E-3</v>
      </c>
      <c r="E252">
        <v>1470106</v>
      </c>
      <c r="F252">
        <v>190009</v>
      </c>
      <c r="G252" t="s">
        <v>144</v>
      </c>
      <c r="H252">
        <v>10490000</v>
      </c>
      <c r="I252">
        <f t="shared" si="9"/>
        <v>0.13937282229965159</v>
      </c>
      <c r="J252" s="84">
        <f t="shared" si="10"/>
        <v>6.2717770034842468E-4</v>
      </c>
      <c r="K252" t="str">
        <f t="shared" si="11"/>
        <v>Up to $10</v>
      </c>
    </row>
    <row r="253" spans="1:11" x14ac:dyDescent="0.35">
      <c r="A253" t="s">
        <v>506</v>
      </c>
      <c r="B253" t="s">
        <v>507</v>
      </c>
      <c r="C253">
        <v>1.5E-3</v>
      </c>
      <c r="D253">
        <v>2.0999999999999999E-3</v>
      </c>
      <c r="E253">
        <v>1469571</v>
      </c>
      <c r="F253">
        <v>425763</v>
      </c>
      <c r="G253" t="s">
        <v>144</v>
      </c>
      <c r="H253">
        <v>1000000000</v>
      </c>
      <c r="I253">
        <f t="shared" si="9"/>
        <v>1.496856601137611E-3</v>
      </c>
      <c r="J253" s="84">
        <f t="shared" si="10"/>
        <v>3.1433988623890199E-6</v>
      </c>
      <c r="K253" t="str">
        <f t="shared" si="11"/>
        <v>Up to $10</v>
      </c>
    </row>
    <row r="254" spans="1:11" x14ac:dyDescent="0.35">
      <c r="A254" t="s">
        <v>508</v>
      </c>
      <c r="B254" t="s">
        <v>509</v>
      </c>
      <c r="C254">
        <v>1.1999999999999999E-3</v>
      </c>
      <c r="D254">
        <v>1.6999999999999999E-3</v>
      </c>
      <c r="E254">
        <v>1466425</v>
      </c>
      <c r="F254">
        <v>1731</v>
      </c>
      <c r="G254" t="s">
        <v>145</v>
      </c>
      <c r="H254">
        <v>1190000000</v>
      </c>
      <c r="I254">
        <f t="shared" si="9"/>
        <v>1.1979634621144054E-3</v>
      </c>
      <c r="J254" s="84">
        <f t="shared" si="10"/>
        <v>2.0365378855945367E-6</v>
      </c>
      <c r="K254" t="str">
        <f t="shared" si="11"/>
        <v>Up to $10</v>
      </c>
    </row>
    <row r="255" spans="1:11" x14ac:dyDescent="0.35">
      <c r="A255" t="s">
        <v>510</v>
      </c>
      <c r="B255" t="s">
        <v>510</v>
      </c>
      <c r="C255">
        <v>5.8999999999999999E-3</v>
      </c>
      <c r="D255">
        <v>2.7000000000000001E-3</v>
      </c>
      <c r="E255">
        <v>1460651</v>
      </c>
      <c r="F255">
        <v>6219371</v>
      </c>
      <c r="G255" t="s">
        <v>145</v>
      </c>
      <c r="H255">
        <v>247500000</v>
      </c>
      <c r="I255">
        <f t="shared" si="9"/>
        <v>5.8841128951830062E-3</v>
      </c>
      <c r="J255" s="84">
        <f t="shared" si="10"/>
        <v>1.5887104816993645E-5</v>
      </c>
      <c r="K255" t="str">
        <f t="shared" si="11"/>
        <v>Up to $10</v>
      </c>
    </row>
    <row r="256" spans="1:11" x14ac:dyDescent="0.35">
      <c r="A256" t="s">
        <v>511</v>
      </c>
      <c r="B256" t="s">
        <v>512</v>
      </c>
      <c r="C256">
        <v>1.5E-3</v>
      </c>
      <c r="D256">
        <v>0</v>
      </c>
      <c r="E256">
        <v>1459321</v>
      </c>
      <c r="F256">
        <v>21459</v>
      </c>
      <c r="G256" t="s">
        <v>144</v>
      </c>
      <c r="H256">
        <v>999920000</v>
      </c>
      <c r="I256">
        <f t="shared" si="9"/>
        <v>1.5E-3</v>
      </c>
      <c r="J256" s="84">
        <f t="shared" si="10"/>
        <v>0</v>
      </c>
      <c r="K256" t="str">
        <f t="shared" si="11"/>
        <v>Up to $10</v>
      </c>
    </row>
    <row r="257" spans="1:11" x14ac:dyDescent="0.35">
      <c r="A257" t="s">
        <v>513</v>
      </c>
      <c r="B257" t="s">
        <v>514</v>
      </c>
      <c r="C257">
        <v>1.5E-3</v>
      </c>
      <c r="D257">
        <v>2.41E-2</v>
      </c>
      <c r="E257">
        <v>1458904</v>
      </c>
      <c r="F257">
        <v>6471</v>
      </c>
      <c r="G257" t="s">
        <v>145</v>
      </c>
      <c r="H257">
        <v>1000000000</v>
      </c>
      <c r="I257">
        <f t="shared" si="9"/>
        <v>1.4647007128210136E-3</v>
      </c>
      <c r="J257" s="84">
        <f t="shared" si="10"/>
        <v>3.5299287178986458E-5</v>
      </c>
      <c r="K257" t="str">
        <f t="shared" si="11"/>
        <v>Up to $10</v>
      </c>
    </row>
    <row r="258" spans="1:11" x14ac:dyDescent="0.35">
      <c r="A258" t="s">
        <v>515</v>
      </c>
      <c r="B258" t="s">
        <v>516</v>
      </c>
      <c r="C258">
        <v>4.1999999999999997E-3</v>
      </c>
      <c r="D258">
        <v>4.3E-3</v>
      </c>
      <c r="E258">
        <v>1207576</v>
      </c>
      <c r="F258">
        <v>80143</v>
      </c>
      <c r="G258" t="s">
        <v>145</v>
      </c>
      <c r="H258">
        <v>287730000</v>
      </c>
      <c r="I258">
        <f t="shared" ref="I258:I283" si="12">C258/(1+D258)</f>
        <v>4.1820173255003486E-3</v>
      </c>
      <c r="J258" s="84">
        <f t="shared" ref="J258:J283" si="13">C258-I258</f>
        <v>1.7982674499651165E-5</v>
      </c>
      <c r="K258" t="str">
        <f t="shared" ref="K258:K283" si="14">IF(C258&lt;10,"Up to $10","&gt;= $10")</f>
        <v>Up to $10</v>
      </c>
    </row>
    <row r="259" spans="1:11" x14ac:dyDescent="0.35">
      <c r="A259" t="s">
        <v>517</v>
      </c>
      <c r="B259" t="s">
        <v>518</v>
      </c>
      <c r="C259">
        <v>1.4E-3</v>
      </c>
      <c r="D259">
        <v>1.6999999999999999E-3</v>
      </c>
      <c r="E259">
        <v>1199325</v>
      </c>
      <c r="F259">
        <v>1885566</v>
      </c>
      <c r="G259" t="s">
        <v>145</v>
      </c>
      <c r="H259">
        <v>853380000</v>
      </c>
      <c r="I259">
        <f t="shared" si="12"/>
        <v>1.397624039133473E-3</v>
      </c>
      <c r="J259" s="84">
        <f t="shared" si="13"/>
        <v>2.3759608665269594E-6</v>
      </c>
      <c r="K259" t="str">
        <f t="shared" si="14"/>
        <v>Up to $10</v>
      </c>
    </row>
    <row r="260" spans="1:11" x14ac:dyDescent="0.35">
      <c r="A260" t="s">
        <v>519</v>
      </c>
      <c r="B260" t="s">
        <v>24</v>
      </c>
      <c r="C260">
        <v>1.1999999999999999E-3</v>
      </c>
      <c r="D260">
        <v>2.0999999999999999E-3</v>
      </c>
      <c r="E260">
        <v>1198549</v>
      </c>
      <c r="F260">
        <v>448798</v>
      </c>
      <c r="G260" t="s">
        <v>145</v>
      </c>
      <c r="H260">
        <v>979110000</v>
      </c>
      <c r="I260">
        <f t="shared" si="12"/>
        <v>1.1974852809100887E-3</v>
      </c>
      <c r="J260" s="84">
        <f t="shared" si="13"/>
        <v>2.514719089911216E-6</v>
      </c>
      <c r="K260" t="str">
        <f t="shared" si="14"/>
        <v>Up to $10</v>
      </c>
    </row>
    <row r="261" spans="1:11" x14ac:dyDescent="0.35">
      <c r="A261" t="s">
        <v>520</v>
      </c>
      <c r="B261" t="s">
        <v>521</v>
      </c>
      <c r="C261">
        <v>185.64</v>
      </c>
      <c r="D261">
        <v>2.7000000000000001E-3</v>
      </c>
      <c r="E261">
        <v>1201141</v>
      </c>
      <c r="F261">
        <v>1194229</v>
      </c>
      <c r="G261" t="s">
        <v>145</v>
      </c>
      <c r="H261">
        <v>6470</v>
      </c>
      <c r="I261">
        <f t="shared" si="12"/>
        <v>185.14012167148698</v>
      </c>
      <c r="J261" s="84">
        <f t="shared" si="13"/>
        <v>0.49987832851300595</v>
      </c>
      <c r="K261" t="str">
        <f t="shared" si="14"/>
        <v>&gt;= $10</v>
      </c>
    </row>
    <row r="262" spans="1:11" x14ac:dyDescent="0.35">
      <c r="A262" t="s">
        <v>522</v>
      </c>
      <c r="B262" t="s">
        <v>523</v>
      </c>
      <c r="C262">
        <v>175.86</v>
      </c>
      <c r="D262">
        <v>4.0000000000000002E-4</v>
      </c>
      <c r="E262">
        <v>1199600</v>
      </c>
      <c r="F262">
        <v>2078773</v>
      </c>
      <c r="G262" t="s">
        <v>145</v>
      </c>
      <c r="H262">
        <v>6820</v>
      </c>
      <c r="I262">
        <f t="shared" si="12"/>
        <v>175.78968412634947</v>
      </c>
      <c r="J262" s="84">
        <f t="shared" si="13"/>
        <v>7.0315873650542926E-2</v>
      </c>
      <c r="K262" t="str">
        <f t="shared" si="14"/>
        <v>&gt;= $10</v>
      </c>
    </row>
    <row r="263" spans="1:11" x14ac:dyDescent="0.35">
      <c r="A263" t="s">
        <v>524</v>
      </c>
      <c r="B263" t="s">
        <v>525</v>
      </c>
      <c r="C263">
        <v>5.8999999999999999E-3</v>
      </c>
      <c r="D263">
        <v>6.6E-3</v>
      </c>
      <c r="E263">
        <v>1199080</v>
      </c>
      <c r="F263">
        <v>128970</v>
      </c>
      <c r="G263" t="s">
        <v>145</v>
      </c>
      <c r="H263">
        <v>204590000</v>
      </c>
      <c r="I263">
        <f t="shared" si="12"/>
        <v>5.861315318895291E-3</v>
      </c>
      <c r="J263" s="84">
        <f t="shared" si="13"/>
        <v>3.8684681104708858E-5</v>
      </c>
      <c r="K263" t="str">
        <f t="shared" si="14"/>
        <v>Up to $10</v>
      </c>
    </row>
    <row r="264" spans="1:11" x14ac:dyDescent="0.35">
      <c r="A264" t="s">
        <v>526</v>
      </c>
      <c r="B264" t="s">
        <v>527</v>
      </c>
      <c r="C264">
        <v>2.8E-3</v>
      </c>
      <c r="D264">
        <v>1.54E-2</v>
      </c>
      <c r="E264">
        <v>1205707</v>
      </c>
      <c r="F264">
        <v>72427</v>
      </c>
      <c r="G264" t="s">
        <v>145</v>
      </c>
      <c r="H264">
        <v>429810000</v>
      </c>
      <c r="I264">
        <f t="shared" si="12"/>
        <v>2.7575339767579275E-3</v>
      </c>
      <c r="J264" s="84">
        <f t="shared" si="13"/>
        <v>4.2466023242072447E-5</v>
      </c>
      <c r="K264" t="str">
        <f t="shared" si="14"/>
        <v>Up to $10</v>
      </c>
    </row>
    <row r="265" spans="1:11" x14ac:dyDescent="0.35">
      <c r="A265" t="s">
        <v>528</v>
      </c>
      <c r="B265" t="s">
        <v>529</v>
      </c>
      <c r="C265">
        <v>0</v>
      </c>
      <c r="D265">
        <v>4.0000000000000001E-3</v>
      </c>
      <c r="E265">
        <v>1201464</v>
      </c>
      <c r="F265">
        <v>81028</v>
      </c>
      <c r="G265" t="s">
        <v>145</v>
      </c>
      <c r="H265">
        <v>84560000000</v>
      </c>
      <c r="I265">
        <f t="shared" si="12"/>
        <v>0</v>
      </c>
      <c r="J265" s="84">
        <f t="shared" si="13"/>
        <v>0</v>
      </c>
      <c r="K265" t="str">
        <f t="shared" si="14"/>
        <v>Up to $10</v>
      </c>
    </row>
    <row r="266" spans="1:11" x14ac:dyDescent="0.35">
      <c r="A266" t="s">
        <v>530</v>
      </c>
      <c r="B266" t="s">
        <v>531</v>
      </c>
      <c r="C266">
        <v>1.0800000000000001E-2</v>
      </c>
      <c r="D266">
        <v>2.0000000000000001E-4</v>
      </c>
      <c r="E266">
        <v>1198250</v>
      </c>
      <c r="F266">
        <v>110464</v>
      </c>
      <c r="G266" t="s">
        <v>145</v>
      </c>
      <c r="H266">
        <v>110370000</v>
      </c>
      <c r="I266">
        <f t="shared" si="12"/>
        <v>1.0797840431913617E-2</v>
      </c>
      <c r="J266" s="84">
        <f t="shared" si="13"/>
        <v>2.1595680863833316E-6</v>
      </c>
      <c r="K266" t="str">
        <f t="shared" si="14"/>
        <v>Up to $10</v>
      </c>
    </row>
    <row r="267" spans="1:11" x14ac:dyDescent="0.35">
      <c r="A267" t="s">
        <v>532</v>
      </c>
      <c r="B267" t="s">
        <v>533</v>
      </c>
      <c r="C267">
        <v>5.4000000000000003E-3</v>
      </c>
      <c r="D267">
        <v>7.6E-3</v>
      </c>
      <c r="E267">
        <v>1193409</v>
      </c>
      <c r="F267">
        <v>2950</v>
      </c>
      <c r="G267" t="s">
        <v>144</v>
      </c>
      <c r="H267">
        <v>220000000</v>
      </c>
      <c r="I267">
        <f t="shared" si="12"/>
        <v>5.3592695514092896E-3</v>
      </c>
      <c r="J267" s="84">
        <f t="shared" si="13"/>
        <v>4.0730448590710691E-5</v>
      </c>
      <c r="K267" t="str">
        <f t="shared" si="14"/>
        <v>Up to $10</v>
      </c>
    </row>
    <row r="268" spans="1:11" x14ac:dyDescent="0.35">
      <c r="A268" t="s">
        <v>137</v>
      </c>
      <c r="B268" t="s">
        <v>138</v>
      </c>
      <c r="C268">
        <v>29.9</v>
      </c>
      <c r="D268">
        <v>1.5E-3</v>
      </c>
      <c r="E268">
        <v>1186586</v>
      </c>
      <c r="F268">
        <v>828027</v>
      </c>
      <c r="G268" t="s">
        <v>144</v>
      </c>
      <c r="H268">
        <v>39680</v>
      </c>
      <c r="I268">
        <f t="shared" si="12"/>
        <v>29.855217174238639</v>
      </c>
      <c r="J268" s="84">
        <f t="shared" si="13"/>
        <v>4.4782825761359391E-2</v>
      </c>
      <c r="K268" t="str">
        <f t="shared" si="14"/>
        <v>&gt;= $10</v>
      </c>
    </row>
    <row r="269" spans="1:11" x14ac:dyDescent="0.35">
      <c r="A269" t="s">
        <v>133</v>
      </c>
      <c r="B269" t="s">
        <v>134</v>
      </c>
      <c r="C269">
        <v>1.1999999999999999E-3</v>
      </c>
      <c r="D269">
        <v>3.4700000000000002E-2</v>
      </c>
      <c r="E269">
        <v>1205156</v>
      </c>
      <c r="F269">
        <v>498762</v>
      </c>
      <c r="G269" t="s">
        <v>144</v>
      </c>
      <c r="H269">
        <v>992240000</v>
      </c>
      <c r="I269">
        <f t="shared" si="12"/>
        <v>1.1597564511452595E-3</v>
      </c>
      <c r="J269" s="84">
        <f t="shared" si="13"/>
        <v>4.0243548854740439E-5</v>
      </c>
      <c r="K269" t="str">
        <f t="shared" si="14"/>
        <v>Up to $10</v>
      </c>
    </row>
    <row r="270" spans="1:11" x14ac:dyDescent="0.35">
      <c r="A270" t="s">
        <v>534</v>
      </c>
      <c r="B270" t="s">
        <v>535</v>
      </c>
      <c r="C270">
        <v>132.88</v>
      </c>
      <c r="D270">
        <v>2.5000000000000001E-3</v>
      </c>
      <c r="E270">
        <v>1177696</v>
      </c>
      <c r="F270">
        <v>826410</v>
      </c>
      <c r="G270" t="s">
        <v>145</v>
      </c>
      <c r="H270">
        <v>8860</v>
      </c>
      <c r="I270">
        <f t="shared" si="12"/>
        <v>132.54862842892769</v>
      </c>
      <c r="J270" s="84">
        <f t="shared" si="13"/>
        <v>0.33137157107231019</v>
      </c>
      <c r="K270" t="str">
        <f t="shared" si="14"/>
        <v>&gt;= $10</v>
      </c>
    </row>
    <row r="271" spans="1:11" x14ac:dyDescent="0.35">
      <c r="A271" t="s">
        <v>536</v>
      </c>
      <c r="B271" t="s">
        <v>537</v>
      </c>
      <c r="C271">
        <v>2.9999999999999997E-4</v>
      </c>
      <c r="D271">
        <v>1.6199999999999999E-2</v>
      </c>
      <c r="E271">
        <v>1175672</v>
      </c>
      <c r="F271">
        <v>195191</v>
      </c>
      <c r="G271" t="s">
        <v>144</v>
      </c>
      <c r="H271">
        <v>3610000000</v>
      </c>
      <c r="I271">
        <f t="shared" si="12"/>
        <v>2.9521747687463095E-4</v>
      </c>
      <c r="J271" s="84">
        <f t="shared" si="13"/>
        <v>4.782523125369028E-6</v>
      </c>
      <c r="K271" t="str">
        <f t="shared" si="14"/>
        <v>Up to $10</v>
      </c>
    </row>
    <row r="272" spans="1:11" x14ac:dyDescent="0.35">
      <c r="A272" t="s">
        <v>538</v>
      </c>
      <c r="B272" t="s">
        <v>539</v>
      </c>
      <c r="C272">
        <v>1.4200000000000001E-2</v>
      </c>
      <c r="D272">
        <v>1.6799999999999999E-2</v>
      </c>
      <c r="E272">
        <v>1172258</v>
      </c>
      <c r="F272">
        <v>10037</v>
      </c>
      <c r="G272" t="s">
        <v>144</v>
      </c>
      <c r="H272">
        <v>82640000</v>
      </c>
      <c r="I272">
        <f t="shared" si="12"/>
        <v>1.3965381589299766E-2</v>
      </c>
      <c r="J272" s="84">
        <f t="shared" si="13"/>
        <v>2.3461841070023491E-4</v>
      </c>
      <c r="K272" t="str">
        <f t="shared" si="14"/>
        <v>Up to $10</v>
      </c>
    </row>
    <row r="273" spans="1:11" x14ac:dyDescent="0.35">
      <c r="A273" t="s">
        <v>540</v>
      </c>
      <c r="B273" t="s">
        <v>541</v>
      </c>
      <c r="C273">
        <v>2.9999999999999997E-4</v>
      </c>
      <c r="D273">
        <v>4.3E-3</v>
      </c>
      <c r="E273">
        <v>972646</v>
      </c>
      <c r="F273">
        <v>1749</v>
      </c>
      <c r="G273" t="s">
        <v>144</v>
      </c>
      <c r="H273">
        <v>3340000000</v>
      </c>
      <c r="I273">
        <f t="shared" si="12"/>
        <v>2.9871552325002487E-4</v>
      </c>
      <c r="J273" s="84">
        <f t="shared" si="13"/>
        <v>1.2844767499751064E-6</v>
      </c>
      <c r="K273" t="str">
        <f t="shared" si="14"/>
        <v>Up to $10</v>
      </c>
    </row>
    <row r="274" spans="1:11" x14ac:dyDescent="0.35">
      <c r="A274" t="s">
        <v>141</v>
      </c>
      <c r="B274" t="s">
        <v>142</v>
      </c>
      <c r="C274">
        <v>1E-3</v>
      </c>
      <c r="D274">
        <v>3.8999999999999998E-3</v>
      </c>
      <c r="E274">
        <v>970789</v>
      </c>
      <c r="F274">
        <v>17169</v>
      </c>
      <c r="G274" t="s">
        <v>144</v>
      </c>
      <c r="H274">
        <v>999720000</v>
      </c>
      <c r="I274">
        <f t="shared" si="12"/>
        <v>9.9611515091144534E-4</v>
      </c>
      <c r="J274" s="84">
        <f t="shared" si="13"/>
        <v>3.8848490885546802E-6</v>
      </c>
      <c r="K274" t="str">
        <f t="shared" si="14"/>
        <v>Up to $10</v>
      </c>
    </row>
    <row r="275" spans="1:11" x14ac:dyDescent="0.35">
      <c r="A275" t="s">
        <v>542</v>
      </c>
      <c r="B275" t="s">
        <v>543</v>
      </c>
      <c r="C275">
        <v>1E-4</v>
      </c>
      <c r="D275">
        <v>2.9999999999999997E-4</v>
      </c>
      <c r="E275">
        <v>969523</v>
      </c>
      <c r="F275">
        <v>158921</v>
      </c>
      <c r="G275" t="s">
        <v>144</v>
      </c>
      <c r="H275">
        <v>12140000000</v>
      </c>
      <c r="I275">
        <f t="shared" si="12"/>
        <v>9.9970008997300822E-5</v>
      </c>
      <c r="J275" s="84">
        <f t="shared" si="13"/>
        <v>2.9991002699182394E-8</v>
      </c>
      <c r="K275" t="str">
        <f t="shared" si="14"/>
        <v>Up to $10</v>
      </c>
    </row>
    <row r="276" spans="1:11" x14ac:dyDescent="0.35">
      <c r="A276" t="s">
        <v>544</v>
      </c>
      <c r="B276" t="s">
        <v>544</v>
      </c>
      <c r="C276">
        <v>1.1000000000000001E-3</v>
      </c>
      <c r="D276">
        <v>0.31359999999999999</v>
      </c>
      <c r="E276">
        <v>969081</v>
      </c>
      <c r="F276">
        <v>75946</v>
      </c>
      <c r="G276" t="s">
        <v>144</v>
      </c>
      <c r="H276">
        <v>864090000</v>
      </c>
      <c r="I276">
        <f t="shared" si="12"/>
        <v>8.3739342265529843E-4</v>
      </c>
      <c r="J276" s="84">
        <f t="shared" si="13"/>
        <v>2.6260657734470164E-4</v>
      </c>
      <c r="K276" t="str">
        <f t="shared" si="14"/>
        <v>Up to $10</v>
      </c>
    </row>
    <row r="277" spans="1:11" x14ac:dyDescent="0.35">
      <c r="A277" t="s">
        <v>140</v>
      </c>
      <c r="B277" t="s">
        <v>140</v>
      </c>
      <c r="C277">
        <v>1E-3</v>
      </c>
      <c r="D277">
        <v>3.8399999999999997E-2</v>
      </c>
      <c r="E277">
        <v>975625</v>
      </c>
      <c r="F277">
        <v>931081</v>
      </c>
      <c r="G277" t="s">
        <v>144</v>
      </c>
      <c r="H277">
        <v>1000000000</v>
      </c>
      <c r="I277">
        <f t="shared" si="12"/>
        <v>9.6302003081664099E-4</v>
      </c>
      <c r="J277" s="84">
        <f t="shared" si="13"/>
        <v>3.6979969183359028E-5</v>
      </c>
      <c r="K277" t="str">
        <f t="shared" si="14"/>
        <v>Up to $10</v>
      </c>
    </row>
    <row r="278" spans="1:11" x14ac:dyDescent="0.35">
      <c r="A278" t="s">
        <v>545</v>
      </c>
      <c r="B278" t="s">
        <v>546</v>
      </c>
      <c r="C278">
        <v>7.9600000000000004E-2</v>
      </c>
      <c r="D278">
        <v>9.5999999999999992E-3</v>
      </c>
      <c r="E278">
        <v>961236</v>
      </c>
      <c r="F278">
        <v>3285</v>
      </c>
      <c r="G278" t="s">
        <v>144</v>
      </c>
      <c r="H278">
        <v>9970000000000</v>
      </c>
      <c r="I278">
        <f t="shared" si="12"/>
        <v>7.8843106180665604E-2</v>
      </c>
      <c r="J278" s="84">
        <f t="shared" si="13"/>
        <v>7.5689381933440048E-4</v>
      </c>
      <c r="K278" t="str">
        <f t="shared" si="14"/>
        <v>Up to $10</v>
      </c>
    </row>
    <row r="279" spans="1:11" x14ac:dyDescent="0.35">
      <c r="A279" t="s">
        <v>547</v>
      </c>
      <c r="B279" t="s">
        <v>548</v>
      </c>
      <c r="C279">
        <v>8.0000000000000004E-4</v>
      </c>
      <c r="D279">
        <v>3.3999999999999998E-3</v>
      </c>
      <c r="E279">
        <v>958689</v>
      </c>
      <c r="F279">
        <v>219377</v>
      </c>
      <c r="G279" t="s">
        <v>144</v>
      </c>
      <c r="H279">
        <v>1260000000</v>
      </c>
      <c r="I279">
        <f t="shared" si="12"/>
        <v>7.9728921666334456E-4</v>
      </c>
      <c r="J279" s="84">
        <f t="shared" si="13"/>
        <v>2.7107833366554757E-6</v>
      </c>
      <c r="K279" t="str">
        <f t="shared" si="14"/>
        <v>Up to $10</v>
      </c>
    </row>
    <row r="280" spans="1:11" x14ac:dyDescent="0.35">
      <c r="A280" t="s">
        <v>549</v>
      </c>
      <c r="B280" t="s">
        <v>550</v>
      </c>
      <c r="C280">
        <v>1.9E-3</v>
      </c>
      <c r="D280">
        <v>1.8E-3</v>
      </c>
      <c r="E280">
        <v>958512</v>
      </c>
      <c r="F280">
        <v>79241</v>
      </c>
      <c r="G280" t="s">
        <v>144</v>
      </c>
      <c r="H280">
        <v>504080000</v>
      </c>
      <c r="I280">
        <f t="shared" si="12"/>
        <v>1.8965861449391096E-3</v>
      </c>
      <c r="J280" s="84">
        <f t="shared" si="13"/>
        <v>3.4138550608904354E-6</v>
      </c>
      <c r="K280" t="str">
        <f t="shared" si="14"/>
        <v>Up to $10</v>
      </c>
    </row>
    <row r="281" spans="1:11" x14ac:dyDescent="0.35">
      <c r="A281" t="s">
        <v>551</v>
      </c>
      <c r="B281" t="s">
        <v>552</v>
      </c>
      <c r="C281">
        <v>20.47</v>
      </c>
      <c r="D281">
        <v>0</v>
      </c>
      <c r="E281">
        <v>954786</v>
      </c>
      <c r="F281">
        <v>240</v>
      </c>
      <c r="G281" t="s">
        <v>144</v>
      </c>
      <c r="H281">
        <v>46640</v>
      </c>
      <c r="I281">
        <f t="shared" si="12"/>
        <v>20.47</v>
      </c>
      <c r="J281" s="84">
        <f t="shared" si="13"/>
        <v>0</v>
      </c>
      <c r="K281" t="str">
        <f t="shared" si="14"/>
        <v>&gt;= $10</v>
      </c>
    </row>
    <row r="282" spans="1:11" x14ac:dyDescent="0.35">
      <c r="A282" t="s">
        <v>553</v>
      </c>
      <c r="B282" t="s">
        <v>554</v>
      </c>
      <c r="C282">
        <v>1.06E-2</v>
      </c>
      <c r="D282">
        <v>2.8E-3</v>
      </c>
      <c r="E282">
        <v>952933</v>
      </c>
      <c r="F282">
        <v>253285</v>
      </c>
      <c r="G282" t="s">
        <v>144</v>
      </c>
      <c r="H282">
        <v>90230000</v>
      </c>
      <c r="I282">
        <f t="shared" si="12"/>
        <v>1.0570402871958517E-2</v>
      </c>
      <c r="J282" s="84">
        <f t="shared" si="13"/>
        <v>2.9597128041482929E-5</v>
      </c>
      <c r="K282" t="str">
        <f t="shared" si="14"/>
        <v>Up to $10</v>
      </c>
    </row>
    <row r="283" spans="1:11" x14ac:dyDescent="0.35">
      <c r="A283" t="s">
        <v>555</v>
      </c>
      <c r="B283" t="s">
        <v>556</v>
      </c>
      <c r="C283">
        <v>93.97</v>
      </c>
      <c r="D283">
        <v>1E-4</v>
      </c>
      <c r="E283">
        <v>949515</v>
      </c>
      <c r="F283">
        <v>317545</v>
      </c>
      <c r="G283" t="s">
        <v>144</v>
      </c>
      <c r="H283">
        <v>10100</v>
      </c>
      <c r="I283">
        <f t="shared" si="12"/>
        <v>93.960603939606045</v>
      </c>
      <c r="J283" s="84">
        <f t="shared" si="13"/>
        <v>9.3960603939535758E-3</v>
      </c>
      <c r="K283" t="str">
        <f t="shared" si="14"/>
        <v>&gt;= $10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423A7-F056-4332-9FB7-5EA475EA9435}">
  <sheetPr codeName="Sheet9"/>
  <dimension ref="A1:G173"/>
  <sheetViews>
    <sheetView workbookViewId="0">
      <selection activeCell="I17" sqref="I17"/>
    </sheetView>
  </sheetViews>
  <sheetFormatPr defaultRowHeight="14.5" x14ac:dyDescent="0.35"/>
  <cols>
    <col min="1" max="1" width="10.90625" bestFit="1" customWidth="1"/>
    <col min="2" max="2" width="10.6328125" bestFit="1" customWidth="1"/>
    <col min="3" max="3" width="10.08984375" bestFit="1" customWidth="1"/>
    <col min="4" max="4" width="12.7265625" bestFit="1" customWidth="1"/>
    <col min="5" max="5" width="11.81640625" bestFit="1" customWidth="1"/>
    <col min="6" max="6" width="16.08984375" bestFit="1" customWidth="1"/>
    <col min="7" max="7" width="18.6328125" bestFit="1" customWidth="1"/>
  </cols>
  <sheetData>
    <row r="1" spans="1:7" x14ac:dyDescent="0.35">
      <c r="A1" s="11" t="s">
        <v>0</v>
      </c>
      <c r="B1" s="12" t="s">
        <v>1</v>
      </c>
      <c r="C1" s="12" t="s">
        <v>2</v>
      </c>
      <c r="D1" s="12" t="s">
        <v>3</v>
      </c>
      <c r="E1" s="12" t="s">
        <v>4</v>
      </c>
      <c r="F1" s="12" t="s">
        <v>5</v>
      </c>
      <c r="G1" s="12" t="s">
        <v>558</v>
      </c>
    </row>
    <row r="2" spans="1:7" x14ac:dyDescent="0.35">
      <c r="A2" s="50" t="s">
        <v>8</v>
      </c>
      <c r="B2" s="13" t="s">
        <v>9</v>
      </c>
      <c r="C2" s="13">
        <v>60968.85</v>
      </c>
      <c r="D2" s="13">
        <v>5.9999999999999995E-4</v>
      </c>
      <c r="E2" s="13">
        <v>1222307110742</v>
      </c>
      <c r="F2" s="13">
        <v>67558459644</v>
      </c>
      <c r="G2" s="13">
        <v>20030000</v>
      </c>
    </row>
    <row r="3" spans="1:7" x14ac:dyDescent="0.35">
      <c r="A3" s="51" t="s">
        <v>10</v>
      </c>
      <c r="B3" s="14" t="s">
        <v>11</v>
      </c>
      <c r="C3" s="14">
        <v>1573.61</v>
      </c>
      <c r="D3" s="14">
        <v>1.2999999999999999E-3</v>
      </c>
      <c r="E3" s="14">
        <v>189809648557</v>
      </c>
      <c r="F3" s="14">
        <v>36178864935</v>
      </c>
      <c r="G3" s="14">
        <v>120680000</v>
      </c>
    </row>
    <row r="4" spans="1:7" x14ac:dyDescent="0.35">
      <c r="A4" s="50" t="s">
        <v>12</v>
      </c>
      <c r="B4" s="13" t="s">
        <v>13</v>
      </c>
      <c r="C4" s="13">
        <v>0.99929999999999997</v>
      </c>
      <c r="D4" s="13">
        <v>1E-4</v>
      </c>
      <c r="E4" s="13">
        <v>187016155521</v>
      </c>
      <c r="F4" s="13">
        <v>128822587010</v>
      </c>
      <c r="G4" s="13">
        <v>187110000000</v>
      </c>
    </row>
    <row r="5" spans="1:7" x14ac:dyDescent="0.35">
      <c r="A5" s="51" t="s">
        <v>14</v>
      </c>
      <c r="B5" s="14" t="s">
        <v>14</v>
      </c>
      <c r="C5" s="14">
        <v>578.54</v>
      </c>
      <c r="D5" s="14">
        <v>3.5000000000000001E-3</v>
      </c>
      <c r="E5" s="14">
        <v>77889548635</v>
      </c>
      <c r="F5" s="14">
        <v>2533998725</v>
      </c>
      <c r="G5" s="14">
        <v>134780000</v>
      </c>
    </row>
    <row r="6" spans="1:7" x14ac:dyDescent="0.35">
      <c r="A6" s="50" t="s">
        <v>16</v>
      </c>
      <c r="B6" s="13" t="s">
        <v>16</v>
      </c>
      <c r="C6" s="13">
        <v>0.99960000000000004</v>
      </c>
      <c r="D6" s="13">
        <v>1E-4</v>
      </c>
      <c r="E6" s="13">
        <v>75523419769</v>
      </c>
      <c r="F6" s="13">
        <v>22902529346</v>
      </c>
      <c r="G6" s="13">
        <v>75550000000</v>
      </c>
    </row>
    <row r="7" spans="1:7" x14ac:dyDescent="0.35">
      <c r="A7" s="51" t="s">
        <v>15</v>
      </c>
      <c r="B7" s="14" t="s">
        <v>15</v>
      </c>
      <c r="C7" s="14">
        <v>1.0900000000000001</v>
      </c>
      <c r="D7" s="14">
        <v>2.3999999999999998E-3</v>
      </c>
      <c r="E7" s="14">
        <v>67738003484</v>
      </c>
      <c r="F7" s="14">
        <v>3848897507</v>
      </c>
      <c r="G7" s="14">
        <v>62050000000</v>
      </c>
    </row>
    <row r="8" spans="1:7" x14ac:dyDescent="0.35">
      <c r="A8" s="50" t="s">
        <v>17</v>
      </c>
      <c r="B8" s="13" t="s">
        <v>18</v>
      </c>
      <c r="C8" s="13">
        <v>62.84</v>
      </c>
      <c r="D8" s="13">
        <v>6.9999999999999999E-4</v>
      </c>
      <c r="E8" s="13">
        <v>36358851579</v>
      </c>
      <c r="F8" s="13">
        <v>5356898486</v>
      </c>
      <c r="G8" s="13">
        <v>578550000</v>
      </c>
    </row>
    <row r="9" spans="1:7" x14ac:dyDescent="0.35">
      <c r="A9" s="51" t="s">
        <v>19</v>
      </c>
      <c r="B9" s="14" t="s">
        <v>20</v>
      </c>
      <c r="C9" s="14">
        <v>0.32100000000000001</v>
      </c>
      <c r="D9" s="14">
        <v>8.0000000000000004E-4</v>
      </c>
      <c r="E9" s="14">
        <v>30438649541</v>
      </c>
      <c r="F9" s="14">
        <v>947082968</v>
      </c>
      <c r="G9" s="14">
        <v>94810000000</v>
      </c>
    </row>
    <row r="10" spans="1:7" x14ac:dyDescent="0.35">
      <c r="A10" s="50" t="s">
        <v>23</v>
      </c>
      <c r="B10" s="13" t="s">
        <v>24</v>
      </c>
      <c r="C10" s="13">
        <v>8.1100000000000005E-2</v>
      </c>
      <c r="D10" s="13">
        <v>2.8999999999999998E-3</v>
      </c>
      <c r="E10" s="13">
        <v>12531182811</v>
      </c>
      <c r="F10" s="13">
        <v>1790825480</v>
      </c>
      <c r="G10" s="13">
        <v>154540000000</v>
      </c>
    </row>
    <row r="11" spans="1:7" x14ac:dyDescent="0.35">
      <c r="A11" s="51" t="s">
        <v>29</v>
      </c>
      <c r="B11" s="14" t="s">
        <v>30</v>
      </c>
      <c r="C11" s="14">
        <v>0.19620000000000001</v>
      </c>
      <c r="D11" s="14">
        <v>5.1999999999999998E-3</v>
      </c>
      <c r="E11" s="14">
        <v>6619168999</v>
      </c>
      <c r="F11" s="14">
        <v>916226709</v>
      </c>
      <c r="G11" s="14">
        <v>33720000000</v>
      </c>
    </row>
    <row r="12" spans="1:7" x14ac:dyDescent="0.35">
      <c r="A12" s="50" t="s">
        <v>25</v>
      </c>
      <c r="B12" s="13" t="s">
        <v>26</v>
      </c>
      <c r="C12" s="13">
        <v>383.84</v>
      </c>
      <c r="D12" s="13">
        <v>3.5099999999999999E-2</v>
      </c>
      <c r="E12" s="13">
        <v>6413297048</v>
      </c>
      <c r="F12" s="13">
        <v>3017414794</v>
      </c>
      <c r="G12" s="13">
        <v>16700000</v>
      </c>
    </row>
    <row r="13" spans="1:7" x14ac:dyDescent="0.35">
      <c r="A13" s="51" t="s">
        <v>158</v>
      </c>
      <c r="B13" s="14" t="s">
        <v>159</v>
      </c>
      <c r="C13" s="14">
        <v>0.15060000000000001</v>
      </c>
      <c r="D13" s="14">
        <v>6.6E-3</v>
      </c>
      <c r="E13" s="14">
        <v>5833576479</v>
      </c>
      <c r="F13" s="14">
        <v>27162323</v>
      </c>
      <c r="G13" s="14">
        <v>38720000000</v>
      </c>
    </row>
    <row r="14" spans="1:7" x14ac:dyDescent="0.35">
      <c r="A14" s="50" t="s">
        <v>160</v>
      </c>
      <c r="B14" s="13" t="s">
        <v>161</v>
      </c>
      <c r="C14" s="13">
        <v>0.29780000000000001</v>
      </c>
      <c r="D14" s="13">
        <v>7.7999999999999996E-3</v>
      </c>
      <c r="E14" s="13">
        <v>274014139</v>
      </c>
      <c r="F14" s="13">
        <v>45031935</v>
      </c>
      <c r="G14" s="13">
        <v>919930000</v>
      </c>
    </row>
    <row r="15" spans="1:7" x14ac:dyDescent="0.35">
      <c r="A15" s="51" t="s">
        <v>41</v>
      </c>
      <c r="B15" s="14" t="s">
        <v>42</v>
      </c>
      <c r="C15" s="14">
        <v>0.28610000000000002</v>
      </c>
      <c r="D15" s="14">
        <v>3.0000000000000001E-3</v>
      </c>
      <c r="E15" s="14">
        <v>266357437</v>
      </c>
      <c r="F15" s="14">
        <v>13854074</v>
      </c>
      <c r="G15" s="14">
        <v>930990000</v>
      </c>
    </row>
    <row r="16" spans="1:7" x14ac:dyDescent="0.35">
      <c r="A16" s="50" t="s">
        <v>162</v>
      </c>
      <c r="B16" s="13" t="s">
        <v>163</v>
      </c>
      <c r="C16" s="13">
        <v>6.2700000000000006E-2</v>
      </c>
      <c r="D16" s="13">
        <v>1.9E-3</v>
      </c>
      <c r="E16" s="13">
        <v>264481802</v>
      </c>
      <c r="F16" s="13">
        <v>12531234</v>
      </c>
      <c r="G16" s="13">
        <v>990100000000000</v>
      </c>
    </row>
    <row r="17" spans="1:7" x14ac:dyDescent="0.35">
      <c r="A17" s="51" t="s">
        <v>31</v>
      </c>
      <c r="B17" s="14" t="s">
        <v>32</v>
      </c>
      <c r="C17" s="14">
        <v>0.24060000000000001</v>
      </c>
      <c r="D17" s="14">
        <v>5.8999999999999999E-3</v>
      </c>
      <c r="E17" s="14">
        <v>261597532</v>
      </c>
      <c r="F17" s="14">
        <v>21160459</v>
      </c>
      <c r="G17" s="14">
        <v>1080000000</v>
      </c>
    </row>
    <row r="18" spans="1:7" x14ac:dyDescent="0.35">
      <c r="A18" s="50" t="s">
        <v>164</v>
      </c>
      <c r="B18" s="13" t="s">
        <v>165</v>
      </c>
      <c r="C18" s="13">
        <v>2.4500000000000001E-2</v>
      </c>
      <c r="D18" s="13">
        <v>6.9999999999999999E-4</v>
      </c>
      <c r="E18" s="13">
        <v>254959926</v>
      </c>
      <c r="F18" s="13">
        <v>80182341</v>
      </c>
      <c r="G18" s="13">
        <v>10390000000</v>
      </c>
    </row>
    <row r="19" spans="1:7" x14ac:dyDescent="0.35">
      <c r="A19" s="51" t="s">
        <v>39</v>
      </c>
      <c r="B19" s="14" t="s">
        <v>40</v>
      </c>
      <c r="C19" s="14">
        <v>0.28649999999999998</v>
      </c>
      <c r="D19" s="14">
        <v>9.1000000000000004E-3</v>
      </c>
      <c r="E19" s="14">
        <v>252395264</v>
      </c>
      <c r="F19" s="14">
        <v>55933141</v>
      </c>
      <c r="G19" s="14">
        <v>880660000</v>
      </c>
    </row>
    <row r="20" spans="1:7" x14ac:dyDescent="0.35">
      <c r="A20" s="50" t="s">
        <v>37</v>
      </c>
      <c r="B20" s="13" t="s">
        <v>38</v>
      </c>
      <c r="C20" s="13">
        <v>0.12540000000000001</v>
      </c>
      <c r="D20" s="13">
        <v>1E-4</v>
      </c>
      <c r="E20" s="13">
        <v>250900826</v>
      </c>
      <c r="F20" s="13">
        <v>24328657</v>
      </c>
      <c r="G20" s="13">
        <v>2000000000</v>
      </c>
    </row>
    <row r="21" spans="1:7" x14ac:dyDescent="0.35">
      <c r="A21" s="51" t="s">
        <v>47</v>
      </c>
      <c r="B21" s="14" t="s">
        <v>48</v>
      </c>
      <c r="C21" s="14">
        <v>0.51719999999999999</v>
      </c>
      <c r="D21" s="14">
        <v>1.5900000000000001E-2</v>
      </c>
      <c r="E21" s="14">
        <v>248179055</v>
      </c>
      <c r="F21" s="14">
        <v>48228844</v>
      </c>
      <c r="G21" s="14">
        <v>479780000</v>
      </c>
    </row>
    <row r="22" spans="1:7" x14ac:dyDescent="0.35">
      <c r="A22" s="50" t="s">
        <v>166</v>
      </c>
      <c r="B22" s="13" t="s">
        <v>167</v>
      </c>
      <c r="C22" s="13">
        <v>2.0899999999999998E-2</v>
      </c>
      <c r="D22" s="13">
        <v>8.0000000000000004E-4</v>
      </c>
      <c r="E22" s="13">
        <v>247632562</v>
      </c>
      <c r="F22" s="13">
        <v>87830456</v>
      </c>
      <c r="G22" s="13">
        <v>11820000000</v>
      </c>
    </row>
    <row r="23" spans="1:7" x14ac:dyDescent="0.35">
      <c r="A23" s="51" t="s">
        <v>49</v>
      </c>
      <c r="B23" s="14" t="s">
        <v>50</v>
      </c>
      <c r="C23" s="14">
        <v>6.9599999999999995E-2</v>
      </c>
      <c r="D23" s="14">
        <v>1.6999999999999999E-3</v>
      </c>
      <c r="E23" s="14">
        <v>241466434</v>
      </c>
      <c r="F23" s="14">
        <v>7123655</v>
      </c>
      <c r="G23" s="14">
        <v>3470000000</v>
      </c>
    </row>
    <row r="24" spans="1:7" x14ac:dyDescent="0.35">
      <c r="A24" s="50" t="s">
        <v>45</v>
      </c>
      <c r="B24" s="13" t="s">
        <v>46</v>
      </c>
      <c r="C24" s="13">
        <v>90.35</v>
      </c>
      <c r="D24" s="13">
        <v>2.8E-3</v>
      </c>
      <c r="E24" s="13">
        <v>238500300</v>
      </c>
      <c r="F24" s="13">
        <v>8245189</v>
      </c>
      <c r="G24" s="13">
        <v>2630000</v>
      </c>
    </row>
    <row r="25" spans="1:7" x14ac:dyDescent="0.35">
      <c r="A25" s="51" t="s">
        <v>53</v>
      </c>
      <c r="B25" s="14" t="s">
        <v>54</v>
      </c>
      <c r="C25" s="14">
        <v>1.2999999999999999E-2</v>
      </c>
      <c r="D25" s="14">
        <v>2.0000000000000001E-4</v>
      </c>
      <c r="E25" s="14">
        <v>8117598746</v>
      </c>
      <c r="F25" s="14">
        <v>50695389</v>
      </c>
      <c r="G25" s="14">
        <v>622640000000</v>
      </c>
    </row>
    <row r="26" spans="1:7" x14ac:dyDescent="0.35">
      <c r="A26" s="50" t="s">
        <v>55</v>
      </c>
      <c r="B26" s="13" t="s">
        <v>55</v>
      </c>
      <c r="C26" s="13">
        <v>9.32</v>
      </c>
      <c r="D26" s="13">
        <v>3.4099999999999998E-2</v>
      </c>
      <c r="E26" s="13">
        <v>2890106122</v>
      </c>
      <c r="F26" s="13">
        <v>131356485</v>
      </c>
      <c r="G26" s="13">
        <v>309950000</v>
      </c>
    </row>
    <row r="27" spans="1:7" x14ac:dyDescent="0.35">
      <c r="A27" s="51" t="s">
        <v>58</v>
      </c>
      <c r="B27" s="14" t="s">
        <v>58</v>
      </c>
      <c r="C27" s="14">
        <v>5.1700000000000003E-2</v>
      </c>
      <c r="D27" s="14">
        <v>1.1999999999999999E-3</v>
      </c>
      <c r="E27" s="14">
        <v>1565068927</v>
      </c>
      <c r="F27" s="14">
        <v>31262065</v>
      </c>
      <c r="G27" s="14">
        <v>905700000000000</v>
      </c>
    </row>
    <row r="28" spans="1:7" x14ac:dyDescent="0.35">
      <c r="A28" s="50" t="s">
        <v>59</v>
      </c>
      <c r="B28" s="13" t="s">
        <v>60</v>
      </c>
      <c r="C28" s="13">
        <v>0.99639999999999995</v>
      </c>
      <c r="D28" s="13">
        <v>5.9999999999999995E-4</v>
      </c>
      <c r="E28" s="13">
        <v>1297731215</v>
      </c>
      <c r="F28" s="13">
        <v>3375873</v>
      </c>
      <c r="G28" s="13">
        <v>1300000000</v>
      </c>
    </row>
    <row r="29" spans="1:7" x14ac:dyDescent="0.35">
      <c r="A29" s="51" t="s">
        <v>61</v>
      </c>
      <c r="B29" s="14" t="s">
        <v>62</v>
      </c>
      <c r="C29" s="14">
        <v>0.184</v>
      </c>
      <c r="D29" s="14">
        <v>3.5000000000000001E-3</v>
      </c>
      <c r="E29" s="14">
        <v>820728735</v>
      </c>
      <c r="F29" s="14">
        <v>13299991</v>
      </c>
      <c r="G29" s="14">
        <v>4450000000</v>
      </c>
    </row>
    <row r="30" spans="1:7" x14ac:dyDescent="0.35">
      <c r="A30" s="50" t="s">
        <v>65</v>
      </c>
      <c r="B30" s="13" t="s">
        <v>66</v>
      </c>
      <c r="C30" s="13">
        <v>7.8700000000000006E-2</v>
      </c>
      <c r="D30" s="13">
        <v>5.4000000000000003E-3</v>
      </c>
      <c r="E30" s="13">
        <v>609084813</v>
      </c>
      <c r="F30" s="13">
        <v>10007774</v>
      </c>
      <c r="G30" s="13">
        <v>7730000000</v>
      </c>
    </row>
    <row r="31" spans="1:7" x14ac:dyDescent="0.35">
      <c r="A31" s="51" t="s">
        <v>67</v>
      </c>
      <c r="B31" s="14" t="s">
        <v>67</v>
      </c>
      <c r="C31" s="14">
        <v>0.99919999999999998</v>
      </c>
      <c r="D31" s="14">
        <v>4.0000000000000002E-4</v>
      </c>
      <c r="E31" s="14">
        <v>583570858</v>
      </c>
      <c r="F31" s="14">
        <v>2244874</v>
      </c>
      <c r="G31" s="14">
        <v>584000000</v>
      </c>
    </row>
    <row r="32" spans="1:7" x14ac:dyDescent="0.35">
      <c r="A32" s="50" t="s">
        <v>72</v>
      </c>
      <c r="B32" s="13" t="s">
        <v>72</v>
      </c>
      <c r="C32" s="13">
        <v>1</v>
      </c>
      <c r="D32" s="13">
        <v>0</v>
      </c>
      <c r="E32" s="13">
        <v>305808446</v>
      </c>
      <c r="F32" s="13">
        <v>1874312</v>
      </c>
      <c r="G32" s="13">
        <v>305800000</v>
      </c>
    </row>
    <row r="33" spans="1:7" x14ac:dyDescent="0.35">
      <c r="A33" s="51" t="s">
        <v>170</v>
      </c>
      <c r="B33" s="14" t="s">
        <v>171</v>
      </c>
      <c r="C33" s="14">
        <v>1.4200000000000001E-2</v>
      </c>
      <c r="D33" s="14">
        <v>6.1000000000000004E-3</v>
      </c>
      <c r="E33" s="14">
        <v>67643803</v>
      </c>
      <c r="F33" s="14">
        <v>5138075</v>
      </c>
      <c r="G33" s="14">
        <v>4770000000</v>
      </c>
    </row>
    <row r="34" spans="1:7" x14ac:dyDescent="0.35">
      <c r="A34" s="50" t="s">
        <v>73</v>
      </c>
      <c r="B34" s="13" t="s">
        <v>74</v>
      </c>
      <c r="C34" s="13">
        <v>6.8199999999999997E-2</v>
      </c>
      <c r="D34" s="13">
        <v>1.55E-2</v>
      </c>
      <c r="E34" s="13">
        <v>67243924</v>
      </c>
      <c r="F34" s="13">
        <v>204652</v>
      </c>
      <c r="G34" s="13">
        <v>986440000</v>
      </c>
    </row>
    <row r="35" spans="1:7" x14ac:dyDescent="0.35">
      <c r="A35" s="51" t="s">
        <v>176</v>
      </c>
      <c r="B35" s="14" t="s">
        <v>177</v>
      </c>
      <c r="C35" s="14">
        <v>4.1000000000000003E-3</v>
      </c>
      <c r="D35" s="14">
        <v>5.8999999999999999E-3</v>
      </c>
      <c r="E35" s="14">
        <v>66960760</v>
      </c>
      <c r="F35" s="14">
        <v>10832272</v>
      </c>
      <c r="G35" s="14">
        <v>16280000000.000002</v>
      </c>
    </row>
    <row r="36" spans="1:7" x14ac:dyDescent="0.35">
      <c r="A36" s="50" t="s">
        <v>178</v>
      </c>
      <c r="B36" s="13" t="s">
        <v>179</v>
      </c>
      <c r="C36" s="13">
        <v>0.24160000000000001</v>
      </c>
      <c r="D36" s="13">
        <v>1.8E-3</v>
      </c>
      <c r="E36" s="13">
        <v>66707414</v>
      </c>
      <c r="F36" s="13">
        <v>22230640</v>
      </c>
      <c r="G36" s="13">
        <v>276050000</v>
      </c>
    </row>
    <row r="37" spans="1:7" x14ac:dyDescent="0.35">
      <c r="A37" s="51" t="s">
        <v>184</v>
      </c>
      <c r="B37" s="14" t="s">
        <v>185</v>
      </c>
      <c r="C37" s="14">
        <v>8.8999999999999996E-2</v>
      </c>
      <c r="D37" s="14">
        <v>7.1000000000000004E-3</v>
      </c>
      <c r="E37" s="14">
        <v>65648698</v>
      </c>
      <c r="F37" s="14">
        <v>533716</v>
      </c>
      <c r="G37" s="14">
        <v>737520000</v>
      </c>
    </row>
    <row r="38" spans="1:7" x14ac:dyDescent="0.35">
      <c r="A38" s="50" t="s">
        <v>78</v>
      </c>
      <c r="B38" s="13" t="s">
        <v>79</v>
      </c>
      <c r="C38" s="13">
        <v>0.1489</v>
      </c>
      <c r="D38" s="13">
        <v>3.0000000000000001E-3</v>
      </c>
      <c r="E38" s="13">
        <v>65371126</v>
      </c>
      <c r="F38" s="13">
        <v>789243</v>
      </c>
      <c r="G38" s="13">
        <v>438770000</v>
      </c>
    </row>
    <row r="39" spans="1:7" x14ac:dyDescent="0.35">
      <c r="A39" s="51" t="s">
        <v>186</v>
      </c>
      <c r="B39" s="14" t="s">
        <v>187</v>
      </c>
      <c r="C39" s="14">
        <v>3.56</v>
      </c>
      <c r="D39" s="14">
        <v>5.4000000000000003E-3</v>
      </c>
      <c r="E39" s="14">
        <v>65311608</v>
      </c>
      <c r="F39" s="14">
        <v>15229544</v>
      </c>
      <c r="G39" s="14">
        <v>18310000</v>
      </c>
    </row>
    <row r="40" spans="1:7" x14ac:dyDescent="0.35">
      <c r="A40" s="50" t="s">
        <v>192</v>
      </c>
      <c r="B40" s="13" t="s">
        <v>193</v>
      </c>
      <c r="C40" s="13">
        <v>1.12E-2</v>
      </c>
      <c r="D40" s="13">
        <v>5.4999999999999997E-3</v>
      </c>
      <c r="E40" s="13">
        <v>64401807</v>
      </c>
      <c r="F40" s="13">
        <v>24722387</v>
      </c>
      <c r="G40" s="13">
        <v>5750000000</v>
      </c>
    </row>
    <row r="41" spans="1:7" x14ac:dyDescent="0.35">
      <c r="A41" s="51" t="s">
        <v>194</v>
      </c>
      <c r="B41" s="14" t="s">
        <v>195</v>
      </c>
      <c r="C41" s="14">
        <v>4.1399999999999999E-2</v>
      </c>
      <c r="D41" s="14">
        <v>1.8E-3</v>
      </c>
      <c r="E41" s="14">
        <v>48952469</v>
      </c>
      <c r="F41" s="14">
        <v>7896120</v>
      </c>
      <c r="G41" s="14">
        <v>1180000000</v>
      </c>
    </row>
    <row r="42" spans="1:7" x14ac:dyDescent="0.35">
      <c r="A42" s="50" t="s">
        <v>200</v>
      </c>
      <c r="B42" s="13" t="s">
        <v>201</v>
      </c>
      <c r="C42" s="13">
        <v>2.0000000000000001E-4</v>
      </c>
      <c r="D42" s="13">
        <v>6.6E-3</v>
      </c>
      <c r="E42" s="13">
        <v>48767797</v>
      </c>
      <c r="F42" s="13">
        <v>985843</v>
      </c>
      <c r="G42" s="13">
        <v>282560000000</v>
      </c>
    </row>
    <row r="43" spans="1:7" x14ac:dyDescent="0.35">
      <c r="A43" s="51" t="s">
        <v>202</v>
      </c>
      <c r="B43" s="14" t="s">
        <v>203</v>
      </c>
      <c r="C43" s="14">
        <v>0.1699</v>
      </c>
      <c r="D43" s="14">
        <v>1.1000000000000001E-3</v>
      </c>
      <c r="E43" s="14">
        <v>48740328</v>
      </c>
      <c r="F43" s="14">
        <v>15422449</v>
      </c>
      <c r="G43" s="14">
        <v>286830000</v>
      </c>
    </row>
    <row r="44" spans="1:7" x14ac:dyDescent="0.35">
      <c r="A44" s="50" t="s">
        <v>206</v>
      </c>
      <c r="B44" s="13" t="s">
        <v>207</v>
      </c>
      <c r="C44" s="13">
        <v>5.5999999999999999E-3</v>
      </c>
      <c r="D44" s="13">
        <v>1.1000000000000001E-3</v>
      </c>
      <c r="E44" s="13">
        <v>48455448</v>
      </c>
      <c r="F44" s="13">
        <v>6358343</v>
      </c>
      <c r="G44" s="13">
        <v>8700000000</v>
      </c>
    </row>
    <row r="45" spans="1:7" x14ac:dyDescent="0.35">
      <c r="A45" s="51" t="s">
        <v>208</v>
      </c>
      <c r="B45" s="14" t="s">
        <v>209</v>
      </c>
      <c r="C45" s="14">
        <v>6.2399999999999997E-2</v>
      </c>
      <c r="D45" s="14">
        <v>1E-4</v>
      </c>
      <c r="E45" s="14">
        <v>48212985</v>
      </c>
      <c r="F45" s="14">
        <v>7637657</v>
      </c>
      <c r="G45" s="14">
        <v>772400000</v>
      </c>
    </row>
    <row r="46" spans="1:7" x14ac:dyDescent="0.35">
      <c r="A46" s="50" t="s">
        <v>210</v>
      </c>
      <c r="B46" s="13" t="s">
        <v>211</v>
      </c>
      <c r="C46" s="13">
        <v>8.8700000000000001E-2</v>
      </c>
      <c r="D46" s="13">
        <v>3.0000000000000001E-3</v>
      </c>
      <c r="E46" s="13">
        <v>47938768</v>
      </c>
      <c r="F46" s="13">
        <v>6086708</v>
      </c>
      <c r="G46" s="13">
        <v>540650000</v>
      </c>
    </row>
    <row r="47" spans="1:7" x14ac:dyDescent="0.35">
      <c r="A47" s="51" t="s">
        <v>214</v>
      </c>
      <c r="B47" s="14" t="s">
        <v>215</v>
      </c>
      <c r="C47" s="14">
        <v>4.1999999999999997E-3</v>
      </c>
      <c r="D47" s="14">
        <v>1.54E-2</v>
      </c>
      <c r="E47" s="14">
        <v>48119901</v>
      </c>
      <c r="F47" s="14">
        <v>5545498</v>
      </c>
      <c r="G47" s="14">
        <v>11490000000</v>
      </c>
    </row>
    <row r="48" spans="1:7" x14ac:dyDescent="0.35">
      <c r="A48" s="50" t="s">
        <v>216</v>
      </c>
      <c r="B48" s="13" t="s">
        <v>217</v>
      </c>
      <c r="C48" s="13">
        <v>0.23980000000000001</v>
      </c>
      <c r="D48" s="13">
        <v>4.9399999999999999E-2</v>
      </c>
      <c r="E48" s="13">
        <v>48090384</v>
      </c>
      <c r="F48" s="13">
        <v>141536591</v>
      </c>
      <c r="G48" s="13">
        <v>200500000</v>
      </c>
    </row>
    <row r="49" spans="1:7" x14ac:dyDescent="0.35">
      <c r="A49" s="51" t="s">
        <v>218</v>
      </c>
      <c r="B49" s="14" t="s">
        <v>219</v>
      </c>
      <c r="C49" s="14">
        <v>6.2199999999999998E-2</v>
      </c>
      <c r="D49" s="14">
        <v>1.06E-2</v>
      </c>
      <c r="E49" s="14">
        <v>47866357</v>
      </c>
      <c r="F49" s="14">
        <v>1720458</v>
      </c>
      <c r="G49" s="14">
        <v>770000000</v>
      </c>
    </row>
    <row r="50" spans="1:7" x14ac:dyDescent="0.35">
      <c r="A50" s="50" t="s">
        <v>220</v>
      </c>
      <c r="B50" s="13" t="s">
        <v>221</v>
      </c>
      <c r="C50" s="13">
        <v>0.1376</v>
      </c>
      <c r="D50" s="13">
        <v>5.4999999999999997E-3</v>
      </c>
      <c r="E50" s="13">
        <v>47690084</v>
      </c>
      <c r="F50" s="13">
        <v>48669769</v>
      </c>
      <c r="G50" s="13">
        <v>346460000</v>
      </c>
    </row>
    <row r="51" spans="1:7" x14ac:dyDescent="0.35">
      <c r="A51" s="51" t="s">
        <v>222</v>
      </c>
      <c r="B51" s="14" t="s">
        <v>223</v>
      </c>
      <c r="C51" s="14">
        <v>5.0000000000000001E-4</v>
      </c>
      <c r="D51" s="14">
        <v>6.3E-3</v>
      </c>
      <c r="E51" s="14">
        <v>47484528</v>
      </c>
      <c r="F51" s="14">
        <v>8718804</v>
      </c>
      <c r="G51" s="14">
        <v>86780000000</v>
      </c>
    </row>
    <row r="52" spans="1:7" x14ac:dyDescent="0.35">
      <c r="A52" s="50" t="s">
        <v>224</v>
      </c>
      <c r="B52" s="13" t="s">
        <v>225</v>
      </c>
      <c r="C52" s="13">
        <v>0.18240000000000001</v>
      </c>
      <c r="D52" s="13">
        <v>3.7000000000000002E-3</v>
      </c>
      <c r="E52" s="13">
        <v>35571971</v>
      </c>
      <c r="F52" s="13">
        <v>11440117</v>
      </c>
      <c r="G52" s="13">
        <v>195000000</v>
      </c>
    </row>
    <row r="53" spans="1:7" x14ac:dyDescent="0.35">
      <c r="A53" s="51" t="s">
        <v>228</v>
      </c>
      <c r="B53" s="14" t="s">
        <v>229</v>
      </c>
      <c r="C53" s="14">
        <v>5.9999999999999995E-4</v>
      </c>
      <c r="D53" s="14">
        <v>1.9E-3</v>
      </c>
      <c r="E53" s="14">
        <v>35282668</v>
      </c>
      <c r="F53" s="14">
        <v>153322722</v>
      </c>
      <c r="G53" s="14">
        <v>63510000000</v>
      </c>
    </row>
    <row r="54" spans="1:7" x14ac:dyDescent="0.35">
      <c r="A54" s="50" t="s">
        <v>230</v>
      </c>
      <c r="B54" s="13" t="s">
        <v>231</v>
      </c>
      <c r="C54" s="13">
        <v>9.2200000000000006</v>
      </c>
      <c r="D54" s="13">
        <v>9.7000000000000003E-3</v>
      </c>
      <c r="E54" s="13">
        <v>35242668</v>
      </c>
      <c r="F54" s="13">
        <v>92643</v>
      </c>
      <c r="G54" s="13">
        <v>3810000</v>
      </c>
    </row>
    <row r="55" spans="1:7" x14ac:dyDescent="0.35">
      <c r="A55" s="51" t="s">
        <v>235</v>
      </c>
      <c r="B55" s="14" t="s">
        <v>236</v>
      </c>
      <c r="C55" s="14">
        <v>4.9099999999999998E-2</v>
      </c>
      <c r="D55" s="14">
        <v>5.7000000000000002E-3</v>
      </c>
      <c r="E55" s="14">
        <v>34850619</v>
      </c>
      <c r="F55" s="14">
        <v>13466730</v>
      </c>
      <c r="G55" s="14">
        <v>709980000</v>
      </c>
    </row>
    <row r="56" spans="1:7" x14ac:dyDescent="0.35">
      <c r="A56" s="50" t="s">
        <v>80</v>
      </c>
      <c r="B56" s="13" t="s">
        <v>81</v>
      </c>
      <c r="C56" s="13">
        <v>0.97740000000000005</v>
      </c>
      <c r="D56" s="13">
        <v>1.5E-3</v>
      </c>
      <c r="E56" s="13">
        <v>34660676</v>
      </c>
      <c r="F56" s="13">
        <v>126253</v>
      </c>
      <c r="G56" s="13">
        <v>35460000</v>
      </c>
    </row>
    <row r="57" spans="1:7" x14ac:dyDescent="0.35">
      <c r="A57" s="51" t="s">
        <v>82</v>
      </c>
      <c r="B57" s="14" t="s">
        <v>83</v>
      </c>
      <c r="C57" s="14">
        <v>0.10150000000000001</v>
      </c>
      <c r="D57" s="14">
        <v>2.3E-3</v>
      </c>
      <c r="E57" s="14">
        <v>34482045</v>
      </c>
      <c r="F57" s="14">
        <v>663357</v>
      </c>
      <c r="G57" s="14">
        <v>339710000</v>
      </c>
    </row>
    <row r="58" spans="1:7" x14ac:dyDescent="0.35">
      <c r="A58" s="50" t="s">
        <v>245</v>
      </c>
      <c r="B58" s="13" t="s">
        <v>246</v>
      </c>
      <c r="C58" s="13">
        <v>0.1036</v>
      </c>
      <c r="D58" s="13">
        <v>3.0999999999999999E-3</v>
      </c>
      <c r="E58" s="13">
        <v>33577284</v>
      </c>
      <c r="F58" s="13">
        <v>17174665</v>
      </c>
      <c r="G58" s="13">
        <v>323950000</v>
      </c>
    </row>
    <row r="59" spans="1:7" x14ac:dyDescent="0.35">
      <c r="A59" s="51" t="s">
        <v>247</v>
      </c>
      <c r="B59" s="14" t="s">
        <v>248</v>
      </c>
      <c r="C59" s="14">
        <v>1.43E-2</v>
      </c>
      <c r="D59" s="14">
        <v>7.1000000000000004E-3</v>
      </c>
      <c r="E59" s="14">
        <v>27447371</v>
      </c>
      <c r="F59" s="14">
        <v>10114476</v>
      </c>
      <c r="G59" s="14">
        <v>1920000000</v>
      </c>
    </row>
    <row r="60" spans="1:7" x14ac:dyDescent="0.35">
      <c r="A60" s="50" t="s">
        <v>249</v>
      </c>
      <c r="B60" s="13" t="s">
        <v>249</v>
      </c>
      <c r="C60" s="13">
        <v>9.5999999999999992E-3</v>
      </c>
      <c r="D60" s="13">
        <v>1.4E-3</v>
      </c>
      <c r="E60" s="13">
        <v>27409112</v>
      </c>
      <c r="F60" s="13">
        <v>7348247</v>
      </c>
      <c r="G60" s="13">
        <v>2860000000</v>
      </c>
    </row>
    <row r="61" spans="1:7" x14ac:dyDescent="0.35">
      <c r="A61" s="51" t="s">
        <v>252</v>
      </c>
      <c r="B61" s="14" t="s">
        <v>252</v>
      </c>
      <c r="C61" s="14">
        <v>2.4899999999999999E-2</v>
      </c>
      <c r="D61" s="14">
        <v>2.2000000000000001E-3</v>
      </c>
      <c r="E61" s="14">
        <v>27414034</v>
      </c>
      <c r="F61" s="14">
        <v>717113</v>
      </c>
      <c r="G61" s="14">
        <v>1090000000</v>
      </c>
    </row>
    <row r="62" spans="1:7" x14ac:dyDescent="0.35">
      <c r="A62" s="50" t="s">
        <v>257</v>
      </c>
      <c r="B62" s="13" t="s">
        <v>258</v>
      </c>
      <c r="C62" s="13">
        <v>3.2000000000000002E-3</v>
      </c>
      <c r="D62" s="13">
        <v>1.0200000000000001E-2</v>
      </c>
      <c r="E62" s="13">
        <v>27190071</v>
      </c>
      <c r="F62" s="13">
        <v>7967459</v>
      </c>
      <c r="G62" s="13">
        <v>8550000000.000001</v>
      </c>
    </row>
    <row r="63" spans="1:7" x14ac:dyDescent="0.35">
      <c r="A63" s="51" t="s">
        <v>259</v>
      </c>
      <c r="B63" s="14" t="s">
        <v>259</v>
      </c>
      <c r="C63" s="14">
        <v>8.0000000000000004E-4</v>
      </c>
      <c r="D63" s="14">
        <v>3.0000000000000001E-3</v>
      </c>
      <c r="E63" s="14">
        <v>26972615</v>
      </c>
      <c r="F63" s="14">
        <v>8526974</v>
      </c>
      <c r="G63" s="14">
        <v>33430000000</v>
      </c>
    </row>
    <row r="64" spans="1:7" x14ac:dyDescent="0.35">
      <c r="A64" s="50" t="s">
        <v>262</v>
      </c>
      <c r="B64" s="13" t="s">
        <v>263</v>
      </c>
      <c r="C64" s="13">
        <v>4.3E-3</v>
      </c>
      <c r="D64" s="13">
        <v>1.6000000000000001E-3</v>
      </c>
      <c r="E64" s="13">
        <v>26557553</v>
      </c>
      <c r="F64" s="13">
        <v>11262750</v>
      </c>
      <c r="G64" s="13">
        <v>6190000000</v>
      </c>
    </row>
    <row r="65" spans="1:7" x14ac:dyDescent="0.35">
      <c r="A65" s="51" t="s">
        <v>86</v>
      </c>
      <c r="B65" s="14" t="s">
        <v>86</v>
      </c>
      <c r="C65" s="14">
        <v>1E-3</v>
      </c>
      <c r="D65" s="14">
        <v>1E-4</v>
      </c>
      <c r="E65" s="14">
        <v>26632085</v>
      </c>
      <c r="F65" s="14">
        <v>162930</v>
      </c>
      <c r="G65" s="14">
        <v>27800000000</v>
      </c>
    </row>
    <row r="66" spans="1:7" x14ac:dyDescent="0.35">
      <c r="A66" s="50" t="s">
        <v>266</v>
      </c>
      <c r="B66" s="13" t="s">
        <v>267</v>
      </c>
      <c r="C66" s="13">
        <v>1E-4</v>
      </c>
      <c r="D66" s="13">
        <v>8.3000000000000001E-3</v>
      </c>
      <c r="E66" s="13">
        <v>26409629</v>
      </c>
      <c r="F66" s="13">
        <v>20499571</v>
      </c>
      <c r="G66" s="13">
        <v>420680000000</v>
      </c>
    </row>
    <row r="67" spans="1:7" x14ac:dyDescent="0.35">
      <c r="A67" s="51" t="s">
        <v>270</v>
      </c>
      <c r="B67" s="14" t="s">
        <v>271</v>
      </c>
      <c r="C67" s="14">
        <v>3.6700000000000003E-2</v>
      </c>
      <c r="D67" s="14">
        <v>3.3999999999999998E-3</v>
      </c>
      <c r="E67" s="14">
        <v>20326153</v>
      </c>
      <c r="F67" s="14">
        <v>10935053</v>
      </c>
      <c r="G67" s="14">
        <v>553470000</v>
      </c>
    </row>
    <row r="68" spans="1:7" x14ac:dyDescent="0.35">
      <c r="A68" s="50" t="s">
        <v>272</v>
      </c>
      <c r="B68" s="13" t="s">
        <v>273</v>
      </c>
      <c r="C68" s="13">
        <v>9.3100000000000002E-2</v>
      </c>
      <c r="D68" s="13">
        <v>9.7999999999999997E-3</v>
      </c>
      <c r="E68" s="13">
        <v>20417450</v>
      </c>
      <c r="F68" s="13">
        <v>5942228</v>
      </c>
      <c r="G68" s="13">
        <v>219280000</v>
      </c>
    </row>
    <row r="69" spans="1:7" x14ac:dyDescent="0.35">
      <c r="A69" s="51" t="s">
        <v>274</v>
      </c>
      <c r="B69" s="14" t="s">
        <v>275</v>
      </c>
      <c r="C69" s="14">
        <v>2.1999999999999999E-2</v>
      </c>
      <c r="D69" s="14">
        <v>6.3E-3</v>
      </c>
      <c r="E69" s="14">
        <v>20405058</v>
      </c>
      <c r="F69" s="14">
        <v>1649753</v>
      </c>
      <c r="G69" s="14">
        <v>925570000</v>
      </c>
    </row>
    <row r="70" spans="1:7" x14ac:dyDescent="0.35">
      <c r="A70" s="50" t="s">
        <v>276</v>
      </c>
      <c r="B70" s="13" t="s">
        <v>277</v>
      </c>
      <c r="C70" s="13">
        <v>8.8000000000000005E-3</v>
      </c>
      <c r="D70" s="13">
        <v>8.9999999999999993E-3</v>
      </c>
      <c r="E70" s="13">
        <v>20204618</v>
      </c>
      <c r="F70" s="13">
        <v>5619700</v>
      </c>
      <c r="G70" s="13">
        <v>2300000000</v>
      </c>
    </row>
    <row r="71" spans="1:7" x14ac:dyDescent="0.35">
      <c r="A71" s="51" t="s">
        <v>280</v>
      </c>
      <c r="B71" s="14" t="s">
        <v>280</v>
      </c>
      <c r="C71" s="14">
        <v>0</v>
      </c>
      <c r="D71" s="14">
        <v>5.7999999999999996E-3</v>
      </c>
      <c r="E71" s="14">
        <v>19985403</v>
      </c>
      <c r="F71" s="14">
        <v>9122261</v>
      </c>
      <c r="G71" s="14">
        <v>516750000000</v>
      </c>
    </row>
    <row r="72" spans="1:7" x14ac:dyDescent="0.35">
      <c r="A72" s="50" t="s">
        <v>283</v>
      </c>
      <c r="B72" s="13" t="s">
        <v>284</v>
      </c>
      <c r="C72" s="13">
        <v>0.1246</v>
      </c>
      <c r="D72" s="13">
        <v>2.8999999999999998E-3</v>
      </c>
      <c r="E72" s="13">
        <v>19938291</v>
      </c>
      <c r="F72" s="13">
        <v>1304831</v>
      </c>
      <c r="G72" s="13">
        <v>160000000</v>
      </c>
    </row>
    <row r="73" spans="1:7" x14ac:dyDescent="0.35">
      <c r="A73" s="51" t="s">
        <v>285</v>
      </c>
      <c r="B73" s="14" t="s">
        <v>286</v>
      </c>
      <c r="C73" s="14">
        <v>9.5299999999999996E-2</v>
      </c>
      <c r="D73" s="14">
        <v>5.3E-3</v>
      </c>
      <c r="E73" s="14">
        <v>19671495</v>
      </c>
      <c r="F73" s="14">
        <v>3521775</v>
      </c>
      <c r="G73" s="14">
        <v>206480000</v>
      </c>
    </row>
    <row r="74" spans="1:7" x14ac:dyDescent="0.35">
      <c r="A74" s="50" t="s">
        <v>287</v>
      </c>
      <c r="B74" s="13" t="s">
        <v>288</v>
      </c>
      <c r="C74" s="13">
        <v>7.8600000000000003E-2</v>
      </c>
      <c r="D74" s="13">
        <v>2.2000000000000001E-3</v>
      </c>
      <c r="E74" s="13">
        <v>19644485</v>
      </c>
      <c r="F74" s="13">
        <v>17968849</v>
      </c>
      <c r="G74" s="13">
        <v>250000000</v>
      </c>
    </row>
    <row r="75" spans="1:7" x14ac:dyDescent="0.35">
      <c r="A75" s="51" t="s">
        <v>291</v>
      </c>
      <c r="B75" s="14" t="s">
        <v>292</v>
      </c>
      <c r="C75" s="14">
        <v>2.9999999999999997E-4</v>
      </c>
      <c r="D75" s="14">
        <v>2.0999999999999999E-3</v>
      </c>
      <c r="E75" s="14">
        <v>19539309</v>
      </c>
      <c r="F75" s="14">
        <v>4105623</v>
      </c>
      <c r="G75" s="14">
        <v>62850000000</v>
      </c>
    </row>
    <row r="76" spans="1:7" x14ac:dyDescent="0.35">
      <c r="A76" s="50" t="s">
        <v>295</v>
      </c>
      <c r="B76" s="13" t="s">
        <v>295</v>
      </c>
      <c r="C76" s="13">
        <v>0.12470000000000001</v>
      </c>
      <c r="D76" s="13">
        <v>8.0000000000000004E-4</v>
      </c>
      <c r="E76" s="13">
        <v>14925074</v>
      </c>
      <c r="F76" s="13">
        <v>6722721</v>
      </c>
      <c r="G76" s="13">
        <v>119670000</v>
      </c>
    </row>
    <row r="77" spans="1:7" x14ac:dyDescent="0.35">
      <c r="A77" s="51" t="s">
        <v>298</v>
      </c>
      <c r="B77" s="14" t="s">
        <v>299</v>
      </c>
      <c r="C77" s="14">
        <v>1.5299999999999999E-2</v>
      </c>
      <c r="D77" s="14">
        <v>1.4E-3</v>
      </c>
      <c r="E77" s="14">
        <v>14890542</v>
      </c>
      <c r="F77" s="14">
        <v>3496389</v>
      </c>
      <c r="G77" s="14">
        <v>974830000</v>
      </c>
    </row>
    <row r="78" spans="1:7" x14ac:dyDescent="0.35">
      <c r="A78" s="50" t="s">
        <v>93</v>
      </c>
      <c r="B78" s="13" t="s">
        <v>94</v>
      </c>
      <c r="C78" s="13">
        <v>0.38379999999999997</v>
      </c>
      <c r="D78" s="13">
        <v>6.9999999999999999E-4</v>
      </c>
      <c r="E78" s="13">
        <v>14873557</v>
      </c>
      <c r="F78" s="13">
        <v>276017</v>
      </c>
      <c r="G78" s="13">
        <v>38740000</v>
      </c>
    </row>
    <row r="79" spans="1:7" x14ac:dyDescent="0.35">
      <c r="A79" s="51" t="s">
        <v>300</v>
      </c>
      <c r="B79" s="14" t="s">
        <v>300</v>
      </c>
      <c r="C79" s="14">
        <v>1.4999999999999999E-2</v>
      </c>
      <c r="D79" s="14">
        <v>2.0000000000000001E-4</v>
      </c>
      <c r="E79" s="14">
        <v>14833009</v>
      </c>
      <c r="F79" s="14">
        <v>317570</v>
      </c>
      <c r="G79" s="14">
        <v>990080000</v>
      </c>
    </row>
    <row r="80" spans="1:7" x14ac:dyDescent="0.35">
      <c r="A80" s="50" t="s">
        <v>301</v>
      </c>
      <c r="B80" s="13" t="s">
        <v>301</v>
      </c>
      <c r="C80" s="13">
        <v>0.77349999999999997</v>
      </c>
      <c r="D80" s="13">
        <v>2.0000000000000001E-4</v>
      </c>
      <c r="E80" s="13">
        <v>14799300</v>
      </c>
      <c r="F80" s="13">
        <v>584771</v>
      </c>
      <c r="G80" s="13">
        <v>19130000</v>
      </c>
    </row>
    <row r="81" spans="1:7" x14ac:dyDescent="0.35">
      <c r="A81" s="51" t="s">
        <v>302</v>
      </c>
      <c r="B81" s="14" t="s">
        <v>303</v>
      </c>
      <c r="C81" s="14">
        <v>1.22</v>
      </c>
      <c r="D81" s="14">
        <v>1.9E-3</v>
      </c>
      <c r="E81" s="14">
        <v>14720066</v>
      </c>
      <c r="F81" s="14">
        <v>5079060</v>
      </c>
      <c r="G81" s="14">
        <v>12050000</v>
      </c>
    </row>
    <row r="82" spans="1:7" x14ac:dyDescent="0.35">
      <c r="A82" s="50" t="s">
        <v>304</v>
      </c>
      <c r="B82" s="13" t="s">
        <v>305</v>
      </c>
      <c r="C82" s="13">
        <v>6.0999999999999999E-2</v>
      </c>
      <c r="D82" s="13">
        <v>1.1000000000000001E-3</v>
      </c>
      <c r="E82" s="13">
        <v>14733125</v>
      </c>
      <c r="F82" s="13">
        <v>43424</v>
      </c>
      <c r="G82" s="13">
        <v>241340000</v>
      </c>
    </row>
    <row r="83" spans="1:7" x14ac:dyDescent="0.35">
      <c r="A83" s="51" t="s">
        <v>306</v>
      </c>
      <c r="B83" s="14" t="s">
        <v>307</v>
      </c>
      <c r="C83" s="14">
        <v>3.9300000000000002E-2</v>
      </c>
      <c r="D83" s="14">
        <v>3.3E-3</v>
      </c>
      <c r="E83" s="14">
        <v>14772184</v>
      </c>
      <c r="F83" s="14">
        <v>9672793</v>
      </c>
      <c r="G83" s="14">
        <v>376130000</v>
      </c>
    </row>
    <row r="84" spans="1:7" x14ac:dyDescent="0.35">
      <c r="A84" s="50" t="s">
        <v>308</v>
      </c>
      <c r="B84" s="13" t="s">
        <v>308</v>
      </c>
      <c r="C84" s="13">
        <v>0.99929999999999997</v>
      </c>
      <c r="D84" s="13">
        <v>4.4000000000000003E-3</v>
      </c>
      <c r="E84" s="13">
        <v>14656962</v>
      </c>
      <c r="F84" s="13">
        <v>2444956</v>
      </c>
      <c r="G84" s="13">
        <v>14660000</v>
      </c>
    </row>
    <row r="85" spans="1:7" x14ac:dyDescent="0.35">
      <c r="A85" s="51" t="s">
        <v>309</v>
      </c>
      <c r="B85" s="14" t="s">
        <v>310</v>
      </c>
      <c r="C85" s="14">
        <v>3.7600000000000001E-2</v>
      </c>
      <c r="D85" s="14">
        <v>9.1999999999999998E-3</v>
      </c>
      <c r="E85" s="14">
        <v>14598411</v>
      </c>
      <c r="F85" s="14">
        <v>7529695</v>
      </c>
      <c r="G85" s="14">
        <v>388750000</v>
      </c>
    </row>
    <row r="86" spans="1:7" x14ac:dyDescent="0.35">
      <c r="A86" s="50" t="s">
        <v>311</v>
      </c>
      <c r="B86" s="13" t="s">
        <v>312</v>
      </c>
      <c r="C86" s="13">
        <v>6.2100000000000002E-2</v>
      </c>
      <c r="D86" s="13">
        <v>5.4999999999999997E-3</v>
      </c>
      <c r="E86" s="13">
        <v>14592444</v>
      </c>
      <c r="F86" s="13">
        <v>26677895</v>
      </c>
      <c r="G86" s="13">
        <v>235000000</v>
      </c>
    </row>
    <row r="87" spans="1:7" x14ac:dyDescent="0.35">
      <c r="A87" s="51" t="s">
        <v>313</v>
      </c>
      <c r="B87" s="14" t="s">
        <v>314</v>
      </c>
      <c r="C87" s="14">
        <v>0.1452</v>
      </c>
      <c r="D87" s="14">
        <v>4.0000000000000002E-4</v>
      </c>
      <c r="E87" s="14">
        <v>14526085</v>
      </c>
      <c r="F87" s="14">
        <v>421</v>
      </c>
      <c r="G87" s="14">
        <v>100000000</v>
      </c>
    </row>
    <row r="88" spans="1:7" x14ac:dyDescent="0.35">
      <c r="A88" s="50" t="s">
        <v>315</v>
      </c>
      <c r="B88" s="13" t="s">
        <v>315</v>
      </c>
      <c r="C88" s="13">
        <v>6.6E-3</v>
      </c>
      <c r="D88" s="13">
        <v>4.0000000000000002E-4</v>
      </c>
      <c r="E88" s="13">
        <v>14515905</v>
      </c>
      <c r="F88" s="13">
        <v>22436</v>
      </c>
      <c r="G88" s="13">
        <v>2180000000</v>
      </c>
    </row>
    <row r="89" spans="1:7" x14ac:dyDescent="0.35">
      <c r="A89" s="51" t="s">
        <v>316</v>
      </c>
      <c r="B89" s="14" t="s">
        <v>317</v>
      </c>
      <c r="C89" s="14">
        <v>6.6600000000000006E-2</v>
      </c>
      <c r="D89" s="14">
        <v>7.3000000000000001E-3</v>
      </c>
      <c r="E89" s="14">
        <v>14454094</v>
      </c>
      <c r="F89" s="14">
        <v>4178483</v>
      </c>
      <c r="G89" s="14">
        <v>217000000</v>
      </c>
    </row>
    <row r="90" spans="1:7" x14ac:dyDescent="0.35">
      <c r="A90" s="50" t="s">
        <v>320</v>
      </c>
      <c r="B90" s="13" t="s">
        <v>321</v>
      </c>
      <c r="C90" s="13">
        <v>8.1000000000000003E-2</v>
      </c>
      <c r="D90" s="13">
        <v>1.2999999999999999E-3</v>
      </c>
      <c r="E90" s="13">
        <v>11411815</v>
      </c>
      <c r="F90" s="13">
        <v>2338940</v>
      </c>
      <c r="G90" s="13">
        <v>140840000</v>
      </c>
    </row>
    <row r="91" spans="1:7" x14ac:dyDescent="0.35">
      <c r="A91" s="51" t="s">
        <v>324</v>
      </c>
      <c r="B91" s="14" t="s">
        <v>325</v>
      </c>
      <c r="C91" s="14">
        <v>4.4400000000000002E-2</v>
      </c>
      <c r="D91" s="14">
        <v>4.7000000000000002E-3</v>
      </c>
      <c r="E91" s="14">
        <v>11358145</v>
      </c>
      <c r="F91" s="14">
        <v>7546892</v>
      </c>
      <c r="G91" s="14">
        <v>255640000</v>
      </c>
    </row>
    <row r="92" spans="1:7" x14ac:dyDescent="0.35">
      <c r="A92" s="50" t="s">
        <v>330</v>
      </c>
      <c r="B92" s="13" t="s">
        <v>331</v>
      </c>
      <c r="C92" s="13">
        <v>2.3E-3</v>
      </c>
      <c r="D92" s="13">
        <v>0</v>
      </c>
      <c r="E92" s="13">
        <v>11211988</v>
      </c>
      <c r="F92" s="13">
        <v>125431</v>
      </c>
      <c r="G92" s="13">
        <v>4830000000</v>
      </c>
    </row>
    <row r="93" spans="1:7" x14ac:dyDescent="0.35">
      <c r="A93" s="51" t="s">
        <v>332</v>
      </c>
      <c r="B93" s="14" t="s">
        <v>333</v>
      </c>
      <c r="C93" s="14">
        <v>2.4199999999999999E-2</v>
      </c>
      <c r="D93" s="14">
        <v>1.03E-2</v>
      </c>
      <c r="E93" s="14">
        <v>11175592</v>
      </c>
      <c r="F93" s="14">
        <v>5818093</v>
      </c>
      <c r="G93" s="14">
        <v>462370000</v>
      </c>
    </row>
    <row r="94" spans="1:7" x14ac:dyDescent="0.35">
      <c r="A94" s="50" t="s">
        <v>334</v>
      </c>
      <c r="B94" s="13" t="s">
        <v>335</v>
      </c>
      <c r="C94" s="13">
        <v>1.1000000000000001E-3</v>
      </c>
      <c r="D94" s="13">
        <v>0</v>
      </c>
      <c r="E94" s="13">
        <v>11146264</v>
      </c>
      <c r="F94" s="13">
        <v>401488</v>
      </c>
      <c r="G94" s="13">
        <v>9800000000</v>
      </c>
    </row>
    <row r="95" spans="1:7" x14ac:dyDescent="0.35">
      <c r="A95" s="51" t="s">
        <v>336</v>
      </c>
      <c r="B95" s="14" t="s">
        <v>337</v>
      </c>
      <c r="C95" s="14">
        <v>5.6000000000000001E-2</v>
      </c>
      <c r="D95" s="14">
        <v>1.5599999999999999E-2</v>
      </c>
      <c r="E95" s="14">
        <v>11139126</v>
      </c>
      <c r="F95" s="14">
        <v>5611958</v>
      </c>
      <c r="G95" s="14">
        <v>198950000</v>
      </c>
    </row>
    <row r="96" spans="1:7" x14ac:dyDescent="0.35">
      <c r="A96" s="50" t="s">
        <v>338</v>
      </c>
      <c r="B96" s="13" t="s">
        <v>339</v>
      </c>
      <c r="C96" s="13">
        <v>5.5800000000000002E-2</v>
      </c>
      <c r="D96" s="13">
        <v>1.12E-2</v>
      </c>
      <c r="E96" s="13">
        <v>11158832</v>
      </c>
      <c r="F96" s="13">
        <v>24535332</v>
      </c>
      <c r="G96" s="13">
        <v>200000000</v>
      </c>
    </row>
    <row r="97" spans="1:7" x14ac:dyDescent="0.35">
      <c r="A97" s="51" t="s">
        <v>340</v>
      </c>
      <c r="B97" s="14" t="s">
        <v>341</v>
      </c>
      <c r="C97" s="14">
        <v>6.6199999999999995E-2</v>
      </c>
      <c r="D97" s="14">
        <v>3.8E-3</v>
      </c>
      <c r="E97" s="14">
        <v>11117508</v>
      </c>
      <c r="F97" s="14">
        <v>466868</v>
      </c>
      <c r="G97" s="14">
        <v>167840000</v>
      </c>
    </row>
    <row r="98" spans="1:7" x14ac:dyDescent="0.35">
      <c r="A98" s="50" t="s">
        <v>95</v>
      </c>
      <c r="B98" s="13" t="s">
        <v>96</v>
      </c>
      <c r="C98" s="13">
        <v>1.15E-2</v>
      </c>
      <c r="D98" s="13">
        <v>8.6E-3</v>
      </c>
      <c r="E98" s="13">
        <v>11112982</v>
      </c>
      <c r="F98" s="13">
        <v>1047391</v>
      </c>
      <c r="G98" s="13">
        <v>963280000</v>
      </c>
    </row>
    <row r="99" spans="1:7" x14ac:dyDescent="0.35">
      <c r="A99" s="51" t="s">
        <v>344</v>
      </c>
      <c r="B99" s="14" t="s">
        <v>345</v>
      </c>
      <c r="C99" s="14">
        <v>7.1000000000000004E-3</v>
      </c>
      <c r="D99" s="14">
        <v>1.9E-2</v>
      </c>
      <c r="E99" s="14">
        <v>8793079</v>
      </c>
      <c r="F99" s="14">
        <v>5621560</v>
      </c>
      <c r="G99" s="14">
        <v>1230000000</v>
      </c>
    </row>
    <row r="100" spans="1:7" x14ac:dyDescent="0.35">
      <c r="A100" s="50" t="s">
        <v>348</v>
      </c>
      <c r="B100" s="13" t="s">
        <v>349</v>
      </c>
      <c r="C100" s="13">
        <v>8.5999999999999993E-2</v>
      </c>
      <c r="D100" s="13">
        <v>8.3000000000000001E-3</v>
      </c>
      <c r="E100" s="13">
        <v>8751283</v>
      </c>
      <c r="F100" s="13">
        <v>62576912</v>
      </c>
      <c r="G100" s="13">
        <v>101730000</v>
      </c>
    </row>
    <row r="101" spans="1:7" x14ac:dyDescent="0.35">
      <c r="A101" s="51" t="s">
        <v>352</v>
      </c>
      <c r="B101" s="14" t="s">
        <v>353</v>
      </c>
      <c r="C101" s="14">
        <v>4.8800000000000003E-2</v>
      </c>
      <c r="D101" s="14">
        <v>1.12E-2</v>
      </c>
      <c r="E101" s="14">
        <v>8770259</v>
      </c>
      <c r="F101" s="14">
        <v>2389955</v>
      </c>
      <c r="G101" s="14">
        <v>179640000</v>
      </c>
    </row>
    <row r="102" spans="1:7" x14ac:dyDescent="0.35">
      <c r="A102" s="50" t="s">
        <v>356</v>
      </c>
      <c r="B102" s="13" t="s">
        <v>357</v>
      </c>
      <c r="C102" s="13">
        <v>6.5799999999999997E-2</v>
      </c>
      <c r="D102" s="13">
        <v>6.7000000000000002E-3</v>
      </c>
      <c r="E102" s="13">
        <v>8726562</v>
      </c>
      <c r="F102" s="13">
        <v>5788007</v>
      </c>
      <c r="G102" s="13">
        <v>132610000.00000001</v>
      </c>
    </row>
    <row r="103" spans="1:7" x14ac:dyDescent="0.35">
      <c r="A103" s="51" t="s">
        <v>358</v>
      </c>
      <c r="B103" s="14" t="s">
        <v>359</v>
      </c>
      <c r="C103" s="14">
        <v>0.1002</v>
      </c>
      <c r="D103" s="14">
        <v>9.9000000000000008E-3</v>
      </c>
      <c r="E103" s="14">
        <v>8846993</v>
      </c>
      <c r="F103" s="14">
        <v>39800165</v>
      </c>
      <c r="G103" s="14">
        <v>88240000</v>
      </c>
    </row>
    <row r="104" spans="1:7" x14ac:dyDescent="0.35">
      <c r="A104" s="50" t="s">
        <v>362</v>
      </c>
      <c r="B104" s="13" t="s">
        <v>363</v>
      </c>
      <c r="C104" s="13">
        <v>5.34</v>
      </c>
      <c r="D104" s="13">
        <v>1E-4</v>
      </c>
      <c r="E104" s="13">
        <v>8547463</v>
      </c>
      <c r="F104" s="13">
        <v>713174</v>
      </c>
      <c r="G104" s="13">
        <v>1600000</v>
      </c>
    </row>
    <row r="105" spans="1:7" x14ac:dyDescent="0.35">
      <c r="A105" s="51" t="s">
        <v>364</v>
      </c>
      <c r="B105" s="14" t="s">
        <v>365</v>
      </c>
      <c r="C105" s="14">
        <v>0.11070000000000001</v>
      </c>
      <c r="D105" s="14">
        <v>1.6500000000000001E-2</v>
      </c>
      <c r="E105" s="14">
        <v>8524268</v>
      </c>
      <c r="F105" s="14">
        <v>29287</v>
      </c>
      <c r="G105" s="14">
        <v>76990000</v>
      </c>
    </row>
    <row r="106" spans="1:7" x14ac:dyDescent="0.35">
      <c r="A106" s="50" t="s">
        <v>97</v>
      </c>
      <c r="B106" s="13" t="s">
        <v>98</v>
      </c>
      <c r="C106" s="13">
        <v>3.36</v>
      </c>
      <c r="D106" s="13">
        <v>6.1999999999999998E-3</v>
      </c>
      <c r="E106" s="13">
        <v>8490917</v>
      </c>
      <c r="F106" s="13">
        <v>1312642</v>
      </c>
      <c r="G106" s="13">
        <v>2520000</v>
      </c>
    </row>
    <row r="107" spans="1:7" x14ac:dyDescent="0.35">
      <c r="A107" s="51" t="s">
        <v>368</v>
      </c>
      <c r="B107" s="14" t="s">
        <v>369</v>
      </c>
      <c r="C107" s="14">
        <v>0.01</v>
      </c>
      <c r="D107" s="14">
        <v>1.0800000000000001E-2</v>
      </c>
      <c r="E107" s="14">
        <v>8350740</v>
      </c>
      <c r="F107" s="14">
        <v>13913684</v>
      </c>
      <c r="G107" s="14">
        <v>835270000</v>
      </c>
    </row>
    <row r="108" spans="1:7" x14ac:dyDescent="0.35">
      <c r="A108" s="50" t="s">
        <v>103</v>
      </c>
      <c r="B108" s="13" t="s">
        <v>104</v>
      </c>
      <c r="C108" s="13">
        <v>6.9999999999999999E-4</v>
      </c>
      <c r="D108" s="13">
        <v>6.1999999999999998E-3</v>
      </c>
      <c r="E108" s="13">
        <v>6448383</v>
      </c>
      <c r="F108" s="13">
        <v>485717</v>
      </c>
      <c r="G108" s="13">
        <v>9320000000</v>
      </c>
    </row>
    <row r="109" spans="1:7" x14ac:dyDescent="0.35">
      <c r="A109" s="51" t="s">
        <v>371</v>
      </c>
      <c r="B109" s="14" t="s">
        <v>372</v>
      </c>
      <c r="C109" s="14">
        <v>7.3300000000000004E-2</v>
      </c>
      <c r="D109" s="14">
        <v>3.0999999999999999E-3</v>
      </c>
      <c r="E109" s="14">
        <v>6415469</v>
      </c>
      <c r="F109" s="14">
        <v>5112067</v>
      </c>
      <c r="G109" s="14">
        <v>87490000</v>
      </c>
    </row>
    <row r="110" spans="1:7" x14ac:dyDescent="0.35">
      <c r="A110" s="50" t="s">
        <v>101</v>
      </c>
      <c r="B110" s="13" t="s">
        <v>102</v>
      </c>
      <c r="C110" s="13">
        <v>2.9999999999999997E-4</v>
      </c>
      <c r="D110" s="13">
        <v>0</v>
      </c>
      <c r="E110" s="13">
        <v>6404757</v>
      </c>
      <c r="F110" s="13">
        <v>29171</v>
      </c>
      <c r="G110" s="13">
        <v>21200000000</v>
      </c>
    </row>
    <row r="111" spans="1:7" x14ac:dyDescent="0.35">
      <c r="A111" s="51" t="s">
        <v>375</v>
      </c>
      <c r="B111" s="14" t="s">
        <v>375</v>
      </c>
      <c r="C111" s="14">
        <v>3.0999999999999999E-3</v>
      </c>
      <c r="D111" s="14">
        <v>1.5900000000000001E-2</v>
      </c>
      <c r="E111" s="14">
        <v>6417718</v>
      </c>
      <c r="F111" s="14">
        <v>3626628</v>
      </c>
      <c r="G111" s="14">
        <v>2049999999.9999998</v>
      </c>
    </row>
    <row r="112" spans="1:7" x14ac:dyDescent="0.35">
      <c r="A112" s="50" t="s">
        <v>376</v>
      </c>
      <c r="B112" s="13" t="s">
        <v>377</v>
      </c>
      <c r="C112" s="13">
        <v>8.0000000000000004E-4</v>
      </c>
      <c r="D112" s="13">
        <v>2.0000000000000001E-4</v>
      </c>
      <c r="E112" s="13">
        <v>6388227</v>
      </c>
      <c r="F112" s="13">
        <v>215386</v>
      </c>
      <c r="G112" s="13">
        <v>7820000000</v>
      </c>
    </row>
    <row r="113" spans="1:7" x14ac:dyDescent="0.35">
      <c r="A113" s="51" t="s">
        <v>378</v>
      </c>
      <c r="B113" s="14" t="s">
        <v>379</v>
      </c>
      <c r="C113" s="14">
        <v>0.13980000000000001</v>
      </c>
      <c r="D113" s="14">
        <v>5.0000000000000001E-4</v>
      </c>
      <c r="E113" s="14">
        <v>6386513</v>
      </c>
      <c r="F113" s="14">
        <v>824</v>
      </c>
      <c r="G113" s="14">
        <v>45660000</v>
      </c>
    </row>
    <row r="114" spans="1:7" x14ac:dyDescent="0.35">
      <c r="A114" s="50" t="s">
        <v>380</v>
      </c>
      <c r="B114" s="13" t="s">
        <v>381</v>
      </c>
      <c r="C114" s="13">
        <v>2.7400000000000001E-2</v>
      </c>
      <c r="D114" s="13">
        <v>2.3999999999999998E-3</v>
      </c>
      <c r="E114" s="13">
        <v>6375652</v>
      </c>
      <c r="F114" s="13">
        <v>6397</v>
      </c>
      <c r="G114" s="13">
        <v>232490000</v>
      </c>
    </row>
    <row r="115" spans="1:7" x14ac:dyDescent="0.35">
      <c r="A115" s="51" t="s">
        <v>382</v>
      </c>
      <c r="B115" s="14" t="s">
        <v>383</v>
      </c>
      <c r="C115" s="14">
        <v>7.85E-2</v>
      </c>
      <c r="D115" s="14">
        <v>5.0000000000000001E-4</v>
      </c>
      <c r="E115" s="14">
        <v>6329637</v>
      </c>
      <c r="F115" s="14">
        <v>118991</v>
      </c>
      <c r="G115" s="14">
        <v>80650000</v>
      </c>
    </row>
    <row r="116" spans="1:7" x14ac:dyDescent="0.35">
      <c r="A116" s="50" t="s">
        <v>386</v>
      </c>
      <c r="B116" s="13" t="s">
        <v>387</v>
      </c>
      <c r="C116" s="13">
        <v>1.9E-2</v>
      </c>
      <c r="D116" s="13">
        <v>4.3700000000000003E-2</v>
      </c>
      <c r="E116" s="13">
        <v>6337889</v>
      </c>
      <c r="F116" s="13">
        <v>2664811</v>
      </c>
      <c r="G116" s="13">
        <v>333280000</v>
      </c>
    </row>
    <row r="117" spans="1:7" x14ac:dyDescent="0.35">
      <c r="A117" s="51" t="s">
        <v>388</v>
      </c>
      <c r="B117" s="14" t="s">
        <v>389</v>
      </c>
      <c r="C117" s="14">
        <v>1.6400000000000001E-2</v>
      </c>
      <c r="D117" s="14">
        <v>7.7999999999999996E-3</v>
      </c>
      <c r="E117" s="14">
        <v>6309198</v>
      </c>
      <c r="F117" s="14">
        <v>8594550</v>
      </c>
      <c r="G117" s="14">
        <v>385180000</v>
      </c>
    </row>
    <row r="118" spans="1:7" x14ac:dyDescent="0.35">
      <c r="A118" s="50" t="s">
        <v>109</v>
      </c>
      <c r="B118" s="13" t="s">
        <v>110</v>
      </c>
      <c r="C118" s="13">
        <v>5.0000000000000001E-3</v>
      </c>
      <c r="D118" s="13">
        <v>4.48E-2</v>
      </c>
      <c r="E118" s="13">
        <v>4963366</v>
      </c>
      <c r="F118" s="13">
        <v>2738594</v>
      </c>
      <c r="G118" s="13">
        <v>999960000</v>
      </c>
    </row>
    <row r="119" spans="1:7" x14ac:dyDescent="0.35">
      <c r="A119" s="51" t="s">
        <v>405</v>
      </c>
      <c r="B119" s="14" t="s">
        <v>406</v>
      </c>
      <c r="C119" s="14">
        <v>0.35610000000000003</v>
      </c>
      <c r="D119" s="14">
        <v>0</v>
      </c>
      <c r="E119" s="14">
        <v>4959267</v>
      </c>
      <c r="F119" s="14">
        <v>40175</v>
      </c>
      <c r="G119" s="14">
        <v>13920000</v>
      </c>
    </row>
    <row r="120" spans="1:7" x14ac:dyDescent="0.35">
      <c r="A120" s="50" t="s">
        <v>407</v>
      </c>
      <c r="B120" s="13" t="s">
        <v>408</v>
      </c>
      <c r="C120" s="13">
        <v>1.6999999999999999E-3</v>
      </c>
      <c r="D120" s="13">
        <v>5.4000000000000003E-3</v>
      </c>
      <c r="E120" s="13">
        <v>4946179</v>
      </c>
      <c r="F120" s="13">
        <v>12375480</v>
      </c>
      <c r="G120" s="13">
        <v>2900000000</v>
      </c>
    </row>
    <row r="121" spans="1:7" x14ac:dyDescent="0.35">
      <c r="A121" s="51" t="s">
        <v>409</v>
      </c>
      <c r="B121" s="14" t="s">
        <v>410</v>
      </c>
      <c r="C121" s="14">
        <v>0.7026</v>
      </c>
      <c r="D121" s="14">
        <v>1.18E-2</v>
      </c>
      <c r="E121" s="14">
        <v>4931501</v>
      </c>
      <c r="F121" s="14">
        <v>24261</v>
      </c>
      <c r="G121" s="14">
        <v>7010000</v>
      </c>
    </row>
    <row r="122" spans="1:7" x14ac:dyDescent="0.35">
      <c r="A122" s="50" t="s">
        <v>411</v>
      </c>
      <c r="B122" s="13" t="s">
        <v>412</v>
      </c>
      <c r="C122" s="13">
        <v>0.35560000000000003</v>
      </c>
      <c r="D122" s="13">
        <v>4.0000000000000002E-4</v>
      </c>
      <c r="E122" s="13">
        <v>4929814</v>
      </c>
      <c r="F122" s="13">
        <v>584219</v>
      </c>
      <c r="G122" s="13">
        <v>13850000</v>
      </c>
    </row>
    <row r="123" spans="1:7" x14ac:dyDescent="0.35">
      <c r="A123" s="51" t="s">
        <v>105</v>
      </c>
      <c r="B123" s="14" t="s">
        <v>106</v>
      </c>
      <c r="C123" s="14">
        <v>8.3000000000000001E-3</v>
      </c>
      <c r="D123" s="14">
        <v>3.2500000000000001E-2</v>
      </c>
      <c r="E123" s="14">
        <v>4876890</v>
      </c>
      <c r="F123" s="14">
        <v>38307907</v>
      </c>
      <c r="G123" s="14">
        <v>585640000</v>
      </c>
    </row>
    <row r="124" spans="1:7" x14ac:dyDescent="0.35">
      <c r="A124" s="50" t="s">
        <v>419</v>
      </c>
      <c r="B124" s="13" t="s">
        <v>420</v>
      </c>
      <c r="C124" s="13">
        <v>7.1999999999999998E-3</v>
      </c>
      <c r="D124" s="13">
        <v>1.4999999999999999E-2</v>
      </c>
      <c r="E124" s="13">
        <v>3974558</v>
      </c>
      <c r="F124" s="13">
        <v>32371110</v>
      </c>
      <c r="G124" s="13">
        <v>550320000</v>
      </c>
    </row>
    <row r="125" spans="1:7" x14ac:dyDescent="0.35">
      <c r="A125" s="51" t="s">
        <v>421</v>
      </c>
      <c r="B125" s="14" t="s">
        <v>422</v>
      </c>
      <c r="C125" s="14">
        <v>1.7600000000000001E-2</v>
      </c>
      <c r="D125" s="14">
        <v>4.0000000000000002E-4</v>
      </c>
      <c r="E125" s="14">
        <v>3967959</v>
      </c>
      <c r="F125" s="14">
        <v>852975</v>
      </c>
      <c r="G125" s="14">
        <v>224750000</v>
      </c>
    </row>
    <row r="126" spans="1:7" x14ac:dyDescent="0.35">
      <c r="A126" s="50" t="s">
        <v>427</v>
      </c>
      <c r="B126" s="13" t="s">
        <v>428</v>
      </c>
      <c r="C126" s="13">
        <v>4.4000000000000003E-3</v>
      </c>
      <c r="D126" s="13">
        <v>8.0000000000000004E-4</v>
      </c>
      <c r="E126" s="13">
        <v>3905453</v>
      </c>
      <c r="F126" s="13">
        <v>995138</v>
      </c>
      <c r="G126" s="13">
        <v>878820000</v>
      </c>
    </row>
    <row r="127" spans="1:7" x14ac:dyDescent="0.35">
      <c r="A127" s="51" t="s">
        <v>113</v>
      </c>
      <c r="B127" s="14" t="s">
        <v>114</v>
      </c>
      <c r="C127" s="14">
        <v>8.2000000000000007E-3</v>
      </c>
      <c r="D127" s="14">
        <v>7.1000000000000004E-3</v>
      </c>
      <c r="E127" s="14">
        <v>3882095</v>
      </c>
      <c r="F127" s="14">
        <v>207968</v>
      </c>
      <c r="G127" s="14">
        <v>471420000</v>
      </c>
    </row>
    <row r="128" spans="1:7" x14ac:dyDescent="0.35">
      <c r="A128" s="50" t="s">
        <v>435</v>
      </c>
      <c r="B128" s="13" t="s">
        <v>436</v>
      </c>
      <c r="C128" s="13">
        <v>2.5700000000000001E-2</v>
      </c>
      <c r="D128" s="13">
        <v>9.5999999999999992E-3</v>
      </c>
      <c r="E128" s="13">
        <v>3856893</v>
      </c>
      <c r="F128" s="13">
        <v>1776</v>
      </c>
      <c r="G128" s="13">
        <v>149990000</v>
      </c>
    </row>
    <row r="129" spans="1:7" x14ac:dyDescent="0.35">
      <c r="A129" s="51" t="s">
        <v>117</v>
      </c>
      <c r="B129" s="14" t="s">
        <v>118</v>
      </c>
      <c r="C129" s="14">
        <v>1.4500000000000001E-2</v>
      </c>
      <c r="D129" s="14">
        <v>1.4E-3</v>
      </c>
      <c r="E129" s="14">
        <v>3083850</v>
      </c>
      <c r="F129" s="14">
        <v>182797</v>
      </c>
      <c r="G129" s="14">
        <v>213140000</v>
      </c>
    </row>
    <row r="130" spans="1:7" x14ac:dyDescent="0.35">
      <c r="A130" s="50" t="s">
        <v>119</v>
      </c>
      <c r="B130" s="13" t="s">
        <v>120</v>
      </c>
      <c r="C130" s="13">
        <v>5.8099999999999999E-2</v>
      </c>
      <c r="D130" s="13">
        <v>2.9999999999999997E-4</v>
      </c>
      <c r="E130" s="13">
        <v>3063211</v>
      </c>
      <c r="F130" s="13">
        <v>217674</v>
      </c>
      <c r="G130" s="13">
        <v>52740000</v>
      </c>
    </row>
    <row r="131" spans="1:7" x14ac:dyDescent="0.35">
      <c r="A131" s="51" t="s">
        <v>439</v>
      </c>
      <c r="B131" s="14" t="s">
        <v>440</v>
      </c>
      <c r="C131" s="14">
        <v>1.6199999999999999E-2</v>
      </c>
      <c r="D131" s="14">
        <v>1.1999999999999999E-3</v>
      </c>
      <c r="E131" s="14">
        <v>3045908</v>
      </c>
      <c r="F131" s="14">
        <v>51982</v>
      </c>
      <c r="G131" s="14">
        <v>187760000</v>
      </c>
    </row>
    <row r="132" spans="1:7" x14ac:dyDescent="0.35">
      <c r="A132" s="50" t="s">
        <v>441</v>
      </c>
      <c r="B132" s="13" t="s">
        <v>442</v>
      </c>
      <c r="C132" s="13">
        <v>5.0000000000000001E-4</v>
      </c>
      <c r="D132" s="13">
        <v>7.9000000000000008E-3</v>
      </c>
      <c r="E132" s="13">
        <v>3038724</v>
      </c>
      <c r="F132" s="13">
        <v>34550</v>
      </c>
      <c r="G132" s="13">
        <v>5980000000</v>
      </c>
    </row>
    <row r="133" spans="1:7" x14ac:dyDescent="0.35">
      <c r="A133" s="51" t="s">
        <v>443</v>
      </c>
      <c r="B133" s="14" t="s">
        <v>444</v>
      </c>
      <c r="C133" s="14">
        <v>5.0000000000000001E-4</v>
      </c>
      <c r="D133" s="14">
        <v>1.6299999999999999E-2</v>
      </c>
      <c r="E133" s="14">
        <v>3045265</v>
      </c>
      <c r="F133" s="14">
        <v>97858</v>
      </c>
      <c r="G133" s="14">
        <v>6070000000</v>
      </c>
    </row>
    <row r="134" spans="1:7" x14ac:dyDescent="0.35">
      <c r="A134" s="50" t="s">
        <v>121</v>
      </c>
      <c r="B134" s="13" t="s">
        <v>122</v>
      </c>
      <c r="C134" s="13">
        <v>6.1999999999999998E-3</v>
      </c>
      <c r="D134" s="13">
        <v>1.5E-3</v>
      </c>
      <c r="E134" s="13">
        <v>3017236</v>
      </c>
      <c r="F134" s="13">
        <v>164804</v>
      </c>
      <c r="G134" s="13">
        <v>486500000</v>
      </c>
    </row>
    <row r="135" spans="1:7" x14ac:dyDescent="0.35">
      <c r="A135" s="51" t="s">
        <v>455</v>
      </c>
      <c r="B135" s="14" t="s">
        <v>456</v>
      </c>
      <c r="C135" s="14">
        <v>3.8999999999999998E-3</v>
      </c>
      <c r="D135" s="14">
        <v>2.5999999999999999E-3</v>
      </c>
      <c r="E135" s="14">
        <v>2984414</v>
      </c>
      <c r="F135" s="14">
        <v>1315722</v>
      </c>
      <c r="G135" s="14">
        <v>766340000</v>
      </c>
    </row>
    <row r="136" spans="1:7" x14ac:dyDescent="0.35">
      <c r="A136" s="50" t="s">
        <v>459</v>
      </c>
      <c r="B136" s="13" t="s">
        <v>460</v>
      </c>
      <c r="C136" s="13">
        <v>3.0999999999999999E-3</v>
      </c>
      <c r="D136" s="13">
        <v>2.7199999999999998E-2</v>
      </c>
      <c r="E136" s="13">
        <v>2354870</v>
      </c>
      <c r="F136" s="13">
        <v>59813</v>
      </c>
      <c r="G136" s="13">
        <v>751510000</v>
      </c>
    </row>
    <row r="137" spans="1:7" x14ac:dyDescent="0.35">
      <c r="A137" s="51" t="s">
        <v>461</v>
      </c>
      <c r="B137" s="14" t="s">
        <v>462</v>
      </c>
      <c r="C137" s="14">
        <v>6.4000000000000003E-3</v>
      </c>
      <c r="D137" s="14">
        <v>4.0000000000000002E-4</v>
      </c>
      <c r="E137" s="14">
        <v>2346526</v>
      </c>
      <c r="F137" s="14">
        <v>559825</v>
      </c>
      <c r="G137" s="14">
        <v>368630000</v>
      </c>
    </row>
    <row r="138" spans="1:7" x14ac:dyDescent="0.35">
      <c r="A138" s="50" t="s">
        <v>464</v>
      </c>
      <c r="B138" s="13" t="s">
        <v>465</v>
      </c>
      <c r="C138" s="13">
        <v>2.0999999999999999E-3</v>
      </c>
      <c r="D138" s="13">
        <v>7.1000000000000004E-3</v>
      </c>
      <c r="E138" s="13">
        <v>2336239</v>
      </c>
      <c r="F138" s="13">
        <v>237806</v>
      </c>
      <c r="G138" s="13">
        <v>1130000000</v>
      </c>
    </row>
    <row r="139" spans="1:7" x14ac:dyDescent="0.35">
      <c r="A139" s="51" t="s">
        <v>471</v>
      </c>
      <c r="B139" s="14" t="s">
        <v>472</v>
      </c>
      <c r="C139" s="14">
        <v>3.5000000000000001E-3</v>
      </c>
      <c r="D139" s="14">
        <v>3.3799999999999997E-2</v>
      </c>
      <c r="E139" s="14">
        <v>2308047</v>
      </c>
      <c r="F139" s="14">
        <v>17602</v>
      </c>
      <c r="G139" s="14">
        <v>664000000</v>
      </c>
    </row>
    <row r="140" spans="1:7" x14ac:dyDescent="0.35">
      <c r="A140" s="50" t="s">
        <v>473</v>
      </c>
      <c r="B140" s="13" t="s">
        <v>474</v>
      </c>
      <c r="C140" s="13">
        <v>5.2299999999999999E-2</v>
      </c>
      <c r="D140" s="13">
        <v>1.1900000000000001E-2</v>
      </c>
      <c r="E140" s="13">
        <v>2302202</v>
      </c>
      <c r="F140" s="13">
        <v>676198</v>
      </c>
      <c r="G140" s="13">
        <v>1000000000000</v>
      </c>
    </row>
    <row r="141" spans="1:7" x14ac:dyDescent="0.35">
      <c r="A141" s="51" t="s">
        <v>125</v>
      </c>
      <c r="B141" s="14" t="s">
        <v>126</v>
      </c>
      <c r="C141" s="14">
        <v>2.3E-3</v>
      </c>
      <c r="D141" s="14">
        <v>2.8999999999999998E-3</v>
      </c>
      <c r="E141" s="14">
        <v>2293012</v>
      </c>
      <c r="F141" s="14">
        <v>359670</v>
      </c>
      <c r="G141" s="14">
        <v>995210000</v>
      </c>
    </row>
    <row r="142" spans="1:7" x14ac:dyDescent="0.35">
      <c r="A142" s="50" t="s">
        <v>475</v>
      </c>
      <c r="B142" s="13" t="s">
        <v>476</v>
      </c>
      <c r="C142" s="13">
        <v>1.3100000000000001E-2</v>
      </c>
      <c r="D142" s="13">
        <v>4.0000000000000002E-4</v>
      </c>
      <c r="E142" s="13">
        <v>2272812</v>
      </c>
      <c r="F142" s="13">
        <v>12078</v>
      </c>
      <c r="G142" s="13">
        <v>173820000</v>
      </c>
    </row>
    <row r="143" spans="1:7" x14ac:dyDescent="0.35">
      <c r="A143" s="51" t="s">
        <v>123</v>
      </c>
      <c r="B143" s="14" t="s">
        <v>124</v>
      </c>
      <c r="C143" s="14">
        <v>5.0000000000000001E-4</v>
      </c>
      <c r="D143" s="14">
        <v>2.9999999999999997E-4</v>
      </c>
      <c r="E143" s="14">
        <v>2270858</v>
      </c>
      <c r="F143" s="14">
        <v>1316156</v>
      </c>
      <c r="G143" s="14">
        <v>4219999999.9999995</v>
      </c>
    </row>
    <row r="144" spans="1:7" x14ac:dyDescent="0.35">
      <c r="A144" s="50" t="s">
        <v>481</v>
      </c>
      <c r="B144" s="13" t="s">
        <v>482</v>
      </c>
      <c r="C144" s="13">
        <v>9.2700000000000005E-2</v>
      </c>
      <c r="D144" s="13">
        <v>2.8999999999999998E-3</v>
      </c>
      <c r="E144" s="13">
        <v>1806691</v>
      </c>
      <c r="F144" s="13">
        <v>276756</v>
      </c>
      <c r="G144" s="13">
        <v>19480000</v>
      </c>
    </row>
    <row r="145" spans="1:7" x14ac:dyDescent="0.35">
      <c r="A145" s="51" t="s">
        <v>485</v>
      </c>
      <c r="B145" s="14" t="s">
        <v>485</v>
      </c>
      <c r="C145" s="14">
        <v>2.0000000000000001E-4</v>
      </c>
      <c r="D145" s="14">
        <v>1.09E-2</v>
      </c>
      <c r="E145" s="14">
        <v>1786533</v>
      </c>
      <c r="F145" s="14">
        <v>332122</v>
      </c>
      <c r="G145" s="14">
        <v>8850000000</v>
      </c>
    </row>
    <row r="146" spans="1:7" x14ac:dyDescent="0.35">
      <c r="A146" s="50" t="s">
        <v>486</v>
      </c>
      <c r="B146" s="13" t="s">
        <v>487</v>
      </c>
      <c r="C146" s="13">
        <v>1E-3</v>
      </c>
      <c r="D146" s="13">
        <v>4.7999999999999996E-3</v>
      </c>
      <c r="E146" s="13">
        <v>1782399</v>
      </c>
      <c r="F146" s="13">
        <v>81591</v>
      </c>
      <c r="G146" s="13">
        <v>1820000000</v>
      </c>
    </row>
    <row r="147" spans="1:7" x14ac:dyDescent="0.35">
      <c r="A147" s="51" t="s">
        <v>488</v>
      </c>
      <c r="B147" s="14" t="s">
        <v>489</v>
      </c>
      <c r="C147" s="14">
        <v>1.26</v>
      </c>
      <c r="D147" s="14">
        <v>2.0000000000000001E-4</v>
      </c>
      <c r="E147" s="14">
        <v>1774937</v>
      </c>
      <c r="F147" s="14">
        <v>66401</v>
      </c>
      <c r="G147" s="14">
        <v>1400000</v>
      </c>
    </row>
    <row r="148" spans="1:7" x14ac:dyDescent="0.35">
      <c r="A148" s="50" t="s">
        <v>129</v>
      </c>
      <c r="B148" s="13" t="s">
        <v>130</v>
      </c>
      <c r="C148" s="13">
        <v>6.6E-3</v>
      </c>
      <c r="D148" s="13">
        <v>1.24E-2</v>
      </c>
      <c r="E148" s="13">
        <v>1768062</v>
      </c>
      <c r="F148" s="13">
        <v>119060</v>
      </c>
      <c r="G148" s="13">
        <v>266769999.99999997</v>
      </c>
    </row>
    <row r="149" spans="1:7" x14ac:dyDescent="0.35">
      <c r="A149" s="51" t="s">
        <v>127</v>
      </c>
      <c r="B149" s="14" t="s">
        <v>128</v>
      </c>
      <c r="C149" s="14">
        <v>5.0000000000000001E-3</v>
      </c>
      <c r="D149" s="14">
        <v>5.7000000000000002E-3</v>
      </c>
      <c r="E149" s="14">
        <v>1760912</v>
      </c>
      <c r="F149" s="14">
        <v>1784545</v>
      </c>
      <c r="G149" s="14">
        <v>351230000</v>
      </c>
    </row>
    <row r="150" spans="1:7" x14ac:dyDescent="0.35">
      <c r="A150" s="50" t="s">
        <v>496</v>
      </c>
      <c r="B150" s="13" t="s">
        <v>497</v>
      </c>
      <c r="C150" s="13">
        <v>5.9999999999999995E-4</v>
      </c>
      <c r="D150" s="13">
        <v>2.0999999999999999E-3</v>
      </c>
      <c r="E150" s="13">
        <v>1491710</v>
      </c>
      <c r="F150" s="13">
        <v>188215</v>
      </c>
      <c r="G150" s="13">
        <v>2500000000</v>
      </c>
    </row>
    <row r="151" spans="1:7" x14ac:dyDescent="0.35">
      <c r="A151" s="51" t="s">
        <v>500</v>
      </c>
      <c r="B151" s="14" t="s">
        <v>501</v>
      </c>
      <c r="C151" s="14">
        <v>5.3E-3</v>
      </c>
      <c r="D151" s="14">
        <v>1.1000000000000001E-3</v>
      </c>
      <c r="E151" s="14">
        <v>1482423</v>
      </c>
      <c r="F151" s="14">
        <v>466345</v>
      </c>
      <c r="G151" s="14">
        <v>280000000</v>
      </c>
    </row>
    <row r="152" spans="1:7" x14ac:dyDescent="0.35">
      <c r="A152" s="50" t="s">
        <v>502</v>
      </c>
      <c r="B152" s="13" t="s">
        <v>502</v>
      </c>
      <c r="C152" s="13">
        <v>1.6000000000000001E-3</v>
      </c>
      <c r="D152" s="13">
        <v>5.4000000000000003E-3</v>
      </c>
      <c r="E152" s="13">
        <v>1481390</v>
      </c>
      <c r="F152" s="13">
        <v>838166</v>
      </c>
      <c r="G152" s="13">
        <v>899840000</v>
      </c>
    </row>
    <row r="153" spans="1:7" x14ac:dyDescent="0.35">
      <c r="A153" s="51" t="s">
        <v>131</v>
      </c>
      <c r="B153" s="14" t="s">
        <v>132</v>
      </c>
      <c r="C153" s="14">
        <v>1.5E-3</v>
      </c>
      <c r="D153" s="14">
        <v>1.41E-2</v>
      </c>
      <c r="E153" s="14">
        <v>1477054</v>
      </c>
      <c r="F153" s="14">
        <v>1398</v>
      </c>
      <c r="G153" s="14">
        <v>1000000000</v>
      </c>
    </row>
    <row r="154" spans="1:7" x14ac:dyDescent="0.35">
      <c r="A154" s="50" t="s">
        <v>503</v>
      </c>
      <c r="B154" s="13" t="s">
        <v>503</v>
      </c>
      <c r="C154" s="13">
        <v>1E-3</v>
      </c>
      <c r="D154" s="13">
        <v>2.5999999999999999E-3</v>
      </c>
      <c r="E154" s="13">
        <v>1472643</v>
      </c>
      <c r="F154" s="13">
        <v>290891</v>
      </c>
      <c r="G154" s="13">
        <v>1420000000</v>
      </c>
    </row>
    <row r="155" spans="1:7" x14ac:dyDescent="0.35">
      <c r="A155" s="51" t="s">
        <v>135</v>
      </c>
      <c r="B155" s="14" t="s">
        <v>136</v>
      </c>
      <c r="C155" s="14">
        <v>2.9999999999999997E-4</v>
      </c>
      <c r="D155" s="14">
        <v>5.8400000000000001E-2</v>
      </c>
      <c r="E155" s="14">
        <v>1498720</v>
      </c>
      <c r="F155" s="14">
        <v>2985093</v>
      </c>
      <c r="G155" s="14">
        <v>4570000000</v>
      </c>
    </row>
    <row r="156" spans="1:7" x14ac:dyDescent="0.35">
      <c r="A156" s="50" t="s">
        <v>504</v>
      </c>
      <c r="B156" s="13" t="s">
        <v>505</v>
      </c>
      <c r="C156" s="13">
        <v>0.14000000000000001</v>
      </c>
      <c r="D156" s="13">
        <v>4.4999999999999997E-3</v>
      </c>
      <c r="E156" s="13">
        <v>1470106</v>
      </c>
      <c r="F156" s="13">
        <v>190009</v>
      </c>
      <c r="G156" s="13">
        <v>10490000</v>
      </c>
    </row>
    <row r="157" spans="1:7" x14ac:dyDescent="0.35">
      <c r="A157" s="51" t="s">
        <v>506</v>
      </c>
      <c r="B157" s="14" t="s">
        <v>507</v>
      </c>
      <c r="C157" s="14">
        <v>1.5E-3</v>
      </c>
      <c r="D157" s="14">
        <v>2.0999999999999999E-3</v>
      </c>
      <c r="E157" s="14">
        <v>1469571</v>
      </c>
      <c r="F157" s="14">
        <v>425763</v>
      </c>
      <c r="G157" s="14">
        <v>1000000000</v>
      </c>
    </row>
    <row r="158" spans="1:7" x14ac:dyDescent="0.35">
      <c r="A158" s="50" t="s">
        <v>510</v>
      </c>
      <c r="B158" s="13" t="s">
        <v>510</v>
      </c>
      <c r="C158" s="13">
        <v>5.8999999999999999E-3</v>
      </c>
      <c r="D158" s="13">
        <v>2.7000000000000001E-3</v>
      </c>
      <c r="E158" s="13">
        <v>1460651</v>
      </c>
      <c r="F158" s="13">
        <v>6219371</v>
      </c>
      <c r="G158" s="13">
        <v>247500000</v>
      </c>
    </row>
    <row r="159" spans="1:7" x14ac:dyDescent="0.35">
      <c r="A159" s="51" t="s">
        <v>511</v>
      </c>
      <c r="B159" s="14" t="s">
        <v>512</v>
      </c>
      <c r="C159" s="14">
        <v>1.5E-3</v>
      </c>
      <c r="D159" s="14">
        <v>0</v>
      </c>
      <c r="E159" s="14">
        <v>1459321</v>
      </c>
      <c r="F159" s="14">
        <v>21459</v>
      </c>
      <c r="G159" s="14">
        <v>999920000</v>
      </c>
    </row>
    <row r="160" spans="1:7" x14ac:dyDescent="0.35">
      <c r="A160" s="50" t="s">
        <v>515</v>
      </c>
      <c r="B160" s="13" t="s">
        <v>516</v>
      </c>
      <c r="C160" s="13">
        <v>4.1999999999999997E-3</v>
      </c>
      <c r="D160" s="13">
        <v>4.3E-3</v>
      </c>
      <c r="E160" s="13">
        <v>1207576</v>
      </c>
      <c r="F160" s="13">
        <v>80143</v>
      </c>
      <c r="G160" s="13">
        <v>287730000</v>
      </c>
    </row>
    <row r="161" spans="1:7" x14ac:dyDescent="0.35">
      <c r="A161" s="51" t="s">
        <v>517</v>
      </c>
      <c r="B161" s="14" t="s">
        <v>518</v>
      </c>
      <c r="C161" s="14">
        <v>1.4E-3</v>
      </c>
      <c r="D161" s="14">
        <v>1.6999999999999999E-3</v>
      </c>
      <c r="E161" s="14">
        <v>1199325</v>
      </c>
      <c r="F161" s="14">
        <v>1885566</v>
      </c>
      <c r="G161" s="14">
        <v>853380000</v>
      </c>
    </row>
    <row r="162" spans="1:7" x14ac:dyDescent="0.35">
      <c r="A162" s="50" t="s">
        <v>524</v>
      </c>
      <c r="B162" s="13" t="s">
        <v>525</v>
      </c>
      <c r="C162" s="13">
        <v>5.8999999999999999E-3</v>
      </c>
      <c r="D162" s="13">
        <v>6.6E-3</v>
      </c>
      <c r="E162" s="13">
        <v>1199080</v>
      </c>
      <c r="F162" s="13">
        <v>128970</v>
      </c>
      <c r="G162" s="13">
        <v>204590000</v>
      </c>
    </row>
    <row r="163" spans="1:7" x14ac:dyDescent="0.35">
      <c r="A163" s="51" t="s">
        <v>526</v>
      </c>
      <c r="B163" s="14" t="s">
        <v>527</v>
      </c>
      <c r="C163" s="14">
        <v>2.8E-3</v>
      </c>
      <c r="D163" s="14">
        <v>1.54E-2</v>
      </c>
      <c r="E163" s="14">
        <v>1205707</v>
      </c>
      <c r="F163" s="14">
        <v>72427</v>
      </c>
      <c r="G163" s="14">
        <v>429810000</v>
      </c>
    </row>
    <row r="164" spans="1:7" x14ac:dyDescent="0.35">
      <c r="A164" s="50" t="s">
        <v>528</v>
      </c>
      <c r="B164" s="13" t="s">
        <v>529</v>
      </c>
      <c r="C164" s="13">
        <v>0</v>
      </c>
      <c r="D164" s="13">
        <v>4.0000000000000001E-3</v>
      </c>
      <c r="E164" s="13">
        <v>1201464</v>
      </c>
      <c r="F164" s="13">
        <v>81028</v>
      </c>
      <c r="G164" s="13">
        <v>84560000000</v>
      </c>
    </row>
    <row r="165" spans="1:7" x14ac:dyDescent="0.35">
      <c r="A165" s="51" t="s">
        <v>536</v>
      </c>
      <c r="B165" s="14" t="s">
        <v>537</v>
      </c>
      <c r="C165" s="14">
        <v>2.9999999999999997E-4</v>
      </c>
      <c r="D165" s="14">
        <v>1.6199999999999999E-2</v>
      </c>
      <c r="E165" s="14">
        <v>1175672</v>
      </c>
      <c r="F165" s="14">
        <v>195191</v>
      </c>
      <c r="G165" s="14">
        <v>3610000000</v>
      </c>
    </row>
    <row r="166" spans="1:7" x14ac:dyDescent="0.35">
      <c r="A166" s="50" t="s">
        <v>540</v>
      </c>
      <c r="B166" s="13" t="s">
        <v>541</v>
      </c>
      <c r="C166" s="13">
        <v>2.9999999999999997E-4</v>
      </c>
      <c r="D166" s="13">
        <v>4.3E-3</v>
      </c>
      <c r="E166" s="13">
        <v>972646</v>
      </c>
      <c r="F166" s="13">
        <v>1749</v>
      </c>
      <c r="G166" s="13">
        <v>3340000000</v>
      </c>
    </row>
    <row r="167" spans="1:7" x14ac:dyDescent="0.35">
      <c r="A167" s="51" t="s">
        <v>141</v>
      </c>
      <c r="B167" s="14" t="s">
        <v>142</v>
      </c>
      <c r="C167" s="14">
        <v>1E-3</v>
      </c>
      <c r="D167" s="14">
        <v>3.8999999999999998E-3</v>
      </c>
      <c r="E167" s="14">
        <v>970789</v>
      </c>
      <c r="F167" s="14">
        <v>17169</v>
      </c>
      <c r="G167" s="14">
        <v>999720000</v>
      </c>
    </row>
    <row r="168" spans="1:7" x14ac:dyDescent="0.35">
      <c r="A168" s="50" t="s">
        <v>542</v>
      </c>
      <c r="B168" s="13" t="s">
        <v>543</v>
      </c>
      <c r="C168" s="13">
        <v>1E-4</v>
      </c>
      <c r="D168" s="13">
        <v>2.9999999999999997E-4</v>
      </c>
      <c r="E168" s="13">
        <v>969523</v>
      </c>
      <c r="F168" s="13">
        <v>158921</v>
      </c>
      <c r="G168" s="13">
        <v>12140000000</v>
      </c>
    </row>
    <row r="169" spans="1:7" x14ac:dyDescent="0.35">
      <c r="A169" s="51" t="s">
        <v>544</v>
      </c>
      <c r="B169" s="14" t="s">
        <v>544</v>
      </c>
      <c r="C169" s="14">
        <v>1.1000000000000001E-3</v>
      </c>
      <c r="D169" s="14">
        <v>0.31359999999999999</v>
      </c>
      <c r="E169" s="14">
        <v>969081</v>
      </c>
      <c r="F169" s="14">
        <v>75946</v>
      </c>
      <c r="G169" s="14">
        <v>864090000</v>
      </c>
    </row>
    <row r="170" spans="1:7" x14ac:dyDescent="0.35">
      <c r="A170" s="50" t="s">
        <v>140</v>
      </c>
      <c r="B170" s="13" t="s">
        <v>140</v>
      </c>
      <c r="C170" s="13">
        <v>1E-3</v>
      </c>
      <c r="D170" s="13">
        <v>3.8399999999999997E-2</v>
      </c>
      <c r="E170" s="13">
        <v>975625</v>
      </c>
      <c r="F170" s="13">
        <v>931081</v>
      </c>
      <c r="G170" s="13">
        <v>1000000000</v>
      </c>
    </row>
    <row r="171" spans="1:7" x14ac:dyDescent="0.35">
      <c r="A171" s="51" t="s">
        <v>545</v>
      </c>
      <c r="B171" s="14" t="s">
        <v>546</v>
      </c>
      <c r="C171" s="14">
        <v>7.9600000000000004E-2</v>
      </c>
      <c r="D171" s="14">
        <v>9.5999999999999992E-3</v>
      </c>
      <c r="E171" s="14">
        <v>961236</v>
      </c>
      <c r="F171" s="14">
        <v>3285</v>
      </c>
      <c r="G171" s="14">
        <v>9970000000000</v>
      </c>
    </row>
    <row r="172" spans="1:7" x14ac:dyDescent="0.35">
      <c r="A172" s="50" t="s">
        <v>547</v>
      </c>
      <c r="B172" s="13" t="s">
        <v>548</v>
      </c>
      <c r="C172" s="13">
        <v>8.0000000000000004E-4</v>
      </c>
      <c r="D172" s="13">
        <v>3.3999999999999998E-3</v>
      </c>
      <c r="E172" s="13">
        <v>958689</v>
      </c>
      <c r="F172" s="13">
        <v>219377</v>
      </c>
      <c r="G172" s="13">
        <v>1260000000</v>
      </c>
    </row>
    <row r="173" spans="1:7" x14ac:dyDescent="0.35">
      <c r="A173" s="51" t="s">
        <v>549</v>
      </c>
      <c r="B173" s="14" t="s">
        <v>550</v>
      </c>
      <c r="C173" s="14">
        <v>1.9E-3</v>
      </c>
      <c r="D173" s="14">
        <v>1.8E-3</v>
      </c>
      <c r="E173" s="14">
        <v>958512</v>
      </c>
      <c r="F173" s="14">
        <v>79241</v>
      </c>
      <c r="G173" s="14">
        <v>504080000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31D3F-6C46-4231-B70E-F8F5AA5B3811}">
  <sheetPr codeName="Sheet10"/>
  <dimension ref="A1:I283"/>
  <sheetViews>
    <sheetView workbookViewId="0">
      <selection activeCell="F11" sqref="F11"/>
    </sheetView>
  </sheetViews>
  <sheetFormatPr defaultRowHeight="14.5" x14ac:dyDescent="0.35"/>
  <cols>
    <col min="1" max="1" width="48.81640625" bestFit="1" customWidth="1"/>
    <col min="2" max="2" width="13.6328125" bestFit="1" customWidth="1"/>
    <col min="3" max="3" width="12.36328125" bestFit="1" customWidth="1"/>
    <col min="4" max="4" width="15" bestFit="1" customWidth="1"/>
    <col min="5" max="5" width="12.90625" bestFit="1" customWidth="1"/>
    <col min="6" max="6" width="18.36328125" bestFit="1" customWidth="1"/>
    <col min="7" max="7" width="11.453125" bestFit="1" customWidth="1"/>
    <col min="8" max="8" width="20.90625" bestFit="1" customWidth="1"/>
    <col min="9" max="9" width="15.1796875" bestFit="1" customWidth="1"/>
  </cols>
  <sheetData>
    <row r="1" spans="1:9" x14ac:dyDescent="0.35">
      <c r="A1" t="s">
        <v>0</v>
      </c>
      <c r="B1" t="s">
        <v>1</v>
      </c>
      <c r="C1" t="s">
        <v>2</v>
      </c>
      <c r="D1" t="s">
        <v>3</v>
      </c>
      <c r="E1" t="s">
        <v>4</v>
      </c>
      <c r="F1" t="s">
        <v>5</v>
      </c>
      <c r="G1" t="s">
        <v>143</v>
      </c>
      <c r="H1" t="s">
        <v>558</v>
      </c>
      <c r="I1" t="s">
        <v>566</v>
      </c>
    </row>
    <row r="2" spans="1:9" x14ac:dyDescent="0.35">
      <c r="A2" t="s">
        <v>6</v>
      </c>
      <c r="B2" t="s">
        <v>7</v>
      </c>
      <c r="C2">
        <v>122.28</v>
      </c>
      <c r="D2">
        <v>0</v>
      </c>
      <c r="E2">
        <v>12717729</v>
      </c>
      <c r="F2">
        <v>5017104</v>
      </c>
      <c r="G2" t="s">
        <v>144</v>
      </c>
      <c r="H2">
        <v>104000</v>
      </c>
      <c r="I2" t="str">
        <f t="shared" ref="I2:I65" si="0">IF(C2&lt;=50,"$0-$50","Above $50")</f>
        <v>Above $50</v>
      </c>
    </row>
    <row r="3" spans="1:9" x14ac:dyDescent="0.35">
      <c r="A3" t="s">
        <v>8</v>
      </c>
      <c r="B3" t="s">
        <v>9</v>
      </c>
      <c r="C3">
        <v>60968.85</v>
      </c>
      <c r="D3">
        <v>5.9999999999999995E-4</v>
      </c>
      <c r="E3">
        <v>1222307110742</v>
      </c>
      <c r="F3">
        <v>67558459644</v>
      </c>
      <c r="G3" t="s">
        <v>144</v>
      </c>
      <c r="H3">
        <v>20030000</v>
      </c>
      <c r="I3" t="str">
        <f t="shared" si="0"/>
        <v>Above $50</v>
      </c>
    </row>
    <row r="4" spans="1:9" x14ac:dyDescent="0.35">
      <c r="A4" t="s">
        <v>10</v>
      </c>
      <c r="B4" t="s">
        <v>11</v>
      </c>
      <c r="C4">
        <v>1573.61</v>
      </c>
      <c r="D4">
        <v>1.2999999999999999E-3</v>
      </c>
      <c r="E4">
        <v>189809648557</v>
      </c>
      <c r="F4">
        <v>36178864935</v>
      </c>
      <c r="G4" t="s">
        <v>144</v>
      </c>
      <c r="H4">
        <v>120680000</v>
      </c>
      <c r="I4" t="str">
        <f t="shared" si="0"/>
        <v>Above $50</v>
      </c>
    </row>
    <row r="5" spans="1:9" x14ac:dyDescent="0.35">
      <c r="A5" t="s">
        <v>12</v>
      </c>
      <c r="B5" t="s">
        <v>13</v>
      </c>
      <c r="C5">
        <v>0.99929999999999997</v>
      </c>
      <c r="D5">
        <v>1E-4</v>
      </c>
      <c r="E5">
        <v>187016155521</v>
      </c>
      <c r="F5">
        <v>128822587010</v>
      </c>
      <c r="G5" t="s">
        <v>145</v>
      </c>
      <c r="H5">
        <v>187110000000</v>
      </c>
      <c r="I5" t="str">
        <f t="shared" si="0"/>
        <v>$0-$50</v>
      </c>
    </row>
    <row r="6" spans="1:9" x14ac:dyDescent="0.35">
      <c r="A6" t="s">
        <v>14</v>
      </c>
      <c r="B6" t="s">
        <v>14</v>
      </c>
      <c r="C6">
        <v>578.54</v>
      </c>
      <c r="D6">
        <v>3.5000000000000001E-3</v>
      </c>
      <c r="E6">
        <v>77889548635</v>
      </c>
      <c r="F6">
        <v>2533998725</v>
      </c>
      <c r="G6" t="s">
        <v>144</v>
      </c>
      <c r="H6">
        <v>134780000</v>
      </c>
      <c r="I6" t="str">
        <f t="shared" si="0"/>
        <v>Above $50</v>
      </c>
    </row>
    <row r="7" spans="1:9" x14ac:dyDescent="0.35">
      <c r="A7" t="s">
        <v>16</v>
      </c>
      <c r="B7" t="s">
        <v>16</v>
      </c>
      <c r="C7">
        <v>0.99960000000000004</v>
      </c>
      <c r="D7">
        <v>1E-4</v>
      </c>
      <c r="E7">
        <v>75523419769</v>
      </c>
      <c r="F7">
        <v>22902529346</v>
      </c>
      <c r="G7" t="s">
        <v>145</v>
      </c>
      <c r="H7">
        <v>75550000000</v>
      </c>
      <c r="I7" t="str">
        <f t="shared" si="0"/>
        <v>$0-$50</v>
      </c>
    </row>
    <row r="8" spans="1:9" x14ac:dyDescent="0.35">
      <c r="A8" t="s">
        <v>15</v>
      </c>
      <c r="B8" t="s">
        <v>15</v>
      </c>
      <c r="C8">
        <v>1.0900000000000001</v>
      </c>
      <c r="D8">
        <v>2.3999999999999998E-3</v>
      </c>
      <c r="E8">
        <v>67738003484</v>
      </c>
      <c r="F8">
        <v>3848897507</v>
      </c>
      <c r="G8" t="s">
        <v>144</v>
      </c>
      <c r="H8">
        <v>62050000000</v>
      </c>
      <c r="I8" t="str">
        <f t="shared" si="0"/>
        <v>$0-$50</v>
      </c>
    </row>
    <row r="9" spans="1:9" x14ac:dyDescent="0.35">
      <c r="A9" t="s">
        <v>17</v>
      </c>
      <c r="B9" t="s">
        <v>18</v>
      </c>
      <c r="C9">
        <v>62.84</v>
      </c>
      <c r="D9">
        <v>6.9999999999999999E-4</v>
      </c>
      <c r="E9">
        <v>36358851579</v>
      </c>
      <c r="F9">
        <v>5356898486</v>
      </c>
      <c r="G9" t="s">
        <v>145</v>
      </c>
      <c r="H9">
        <v>578550000</v>
      </c>
      <c r="I9" t="str">
        <f t="shared" si="0"/>
        <v>Above $50</v>
      </c>
    </row>
    <row r="10" spans="1:9" x14ac:dyDescent="0.35">
      <c r="A10" t="s">
        <v>19</v>
      </c>
      <c r="B10" t="s">
        <v>20</v>
      </c>
      <c r="C10">
        <v>0.32100000000000001</v>
      </c>
      <c r="D10">
        <v>8.0000000000000004E-4</v>
      </c>
      <c r="E10">
        <v>30438649541</v>
      </c>
      <c r="F10">
        <v>947082968</v>
      </c>
      <c r="G10" t="s">
        <v>145</v>
      </c>
      <c r="H10">
        <v>94810000000</v>
      </c>
      <c r="I10" t="str">
        <f t="shared" si="0"/>
        <v>$0-$50</v>
      </c>
    </row>
    <row r="11" spans="1:9" x14ac:dyDescent="0.35">
      <c r="A11" t="s">
        <v>21</v>
      </c>
      <c r="B11" t="s">
        <v>22</v>
      </c>
      <c r="C11">
        <v>59.86</v>
      </c>
      <c r="D11">
        <v>1.03E-2</v>
      </c>
      <c r="E11">
        <v>15164710261</v>
      </c>
      <c r="F11">
        <v>1291024158</v>
      </c>
      <c r="G11" t="s">
        <v>145</v>
      </c>
      <c r="H11">
        <v>253320000</v>
      </c>
      <c r="I11" t="str">
        <f t="shared" si="0"/>
        <v>Above $50</v>
      </c>
    </row>
    <row r="12" spans="1:9" x14ac:dyDescent="0.35">
      <c r="A12" t="s">
        <v>23</v>
      </c>
      <c r="B12" t="s">
        <v>24</v>
      </c>
      <c r="C12">
        <v>8.1100000000000005E-2</v>
      </c>
      <c r="D12">
        <v>2.8999999999999998E-3</v>
      </c>
      <c r="E12">
        <v>12531182811</v>
      </c>
      <c r="F12">
        <v>1790825480</v>
      </c>
      <c r="G12" t="s">
        <v>144</v>
      </c>
      <c r="H12">
        <v>154540000000</v>
      </c>
      <c r="I12" t="str">
        <f t="shared" si="0"/>
        <v>$0-$50</v>
      </c>
    </row>
    <row r="13" spans="1:9" x14ac:dyDescent="0.35">
      <c r="A13" t="s">
        <v>27</v>
      </c>
      <c r="B13" t="s">
        <v>28</v>
      </c>
      <c r="C13">
        <v>9.61</v>
      </c>
      <c r="D13">
        <v>5.0000000000000001E-4</v>
      </c>
      <c r="E13">
        <v>8854268103</v>
      </c>
      <c r="F13">
        <v>3832378</v>
      </c>
      <c r="G13" t="s">
        <v>145</v>
      </c>
      <c r="H13">
        <v>920450000</v>
      </c>
      <c r="I13" t="str">
        <f t="shared" si="0"/>
        <v>$0-$50</v>
      </c>
    </row>
    <row r="14" spans="1:9" x14ac:dyDescent="0.35">
      <c r="A14" t="s">
        <v>29</v>
      </c>
      <c r="B14" t="s">
        <v>30</v>
      </c>
      <c r="C14">
        <v>0.19620000000000001</v>
      </c>
      <c r="D14">
        <v>5.1999999999999998E-3</v>
      </c>
      <c r="E14">
        <v>6619168999</v>
      </c>
      <c r="F14">
        <v>916226709</v>
      </c>
      <c r="G14" t="s">
        <v>144</v>
      </c>
      <c r="H14">
        <v>33720000000</v>
      </c>
      <c r="I14" t="str">
        <f t="shared" si="0"/>
        <v>$0-$50</v>
      </c>
    </row>
    <row r="15" spans="1:9" x14ac:dyDescent="0.35">
      <c r="A15" t="s">
        <v>25</v>
      </c>
      <c r="B15" t="s">
        <v>26</v>
      </c>
      <c r="C15">
        <v>383.84</v>
      </c>
      <c r="D15">
        <v>3.5099999999999999E-2</v>
      </c>
      <c r="E15">
        <v>6413297048</v>
      </c>
      <c r="F15">
        <v>3017414794</v>
      </c>
      <c r="G15" t="s">
        <v>144</v>
      </c>
      <c r="H15">
        <v>16700000</v>
      </c>
      <c r="I15" t="str">
        <f t="shared" si="0"/>
        <v>Above $50</v>
      </c>
    </row>
    <row r="16" spans="1:9" x14ac:dyDescent="0.35">
      <c r="A16" t="s">
        <v>158</v>
      </c>
      <c r="B16" t="s">
        <v>159</v>
      </c>
      <c r="C16">
        <v>0.15060000000000001</v>
      </c>
      <c r="D16">
        <v>6.6E-3</v>
      </c>
      <c r="E16">
        <v>5833576479</v>
      </c>
      <c r="F16">
        <v>27162323</v>
      </c>
      <c r="G16" t="s">
        <v>145</v>
      </c>
      <c r="H16">
        <v>38720000000</v>
      </c>
      <c r="I16" t="str">
        <f t="shared" si="0"/>
        <v>$0-$50</v>
      </c>
    </row>
    <row r="17" spans="1:9" x14ac:dyDescent="0.35">
      <c r="A17" t="s">
        <v>35</v>
      </c>
      <c r="B17" t="s">
        <v>36</v>
      </c>
      <c r="C17">
        <v>0.18090000000000001</v>
      </c>
      <c r="D17">
        <v>2.5000000000000001E-3</v>
      </c>
      <c r="E17">
        <v>273900730</v>
      </c>
      <c r="F17">
        <v>64467700</v>
      </c>
      <c r="G17" t="s">
        <v>145</v>
      </c>
      <c r="H17">
        <v>1510000000</v>
      </c>
      <c r="I17" t="str">
        <f t="shared" si="0"/>
        <v>$0-$50</v>
      </c>
    </row>
    <row r="18" spans="1:9" x14ac:dyDescent="0.35">
      <c r="A18" t="s">
        <v>160</v>
      </c>
      <c r="B18" t="s">
        <v>161</v>
      </c>
      <c r="C18">
        <v>0.29780000000000001</v>
      </c>
      <c r="D18">
        <v>7.7999999999999996E-3</v>
      </c>
      <c r="E18">
        <v>274014139</v>
      </c>
      <c r="F18">
        <v>45031935</v>
      </c>
      <c r="G18" t="s">
        <v>145</v>
      </c>
      <c r="H18">
        <v>919930000</v>
      </c>
      <c r="I18" t="str">
        <f t="shared" si="0"/>
        <v>$0-$50</v>
      </c>
    </row>
    <row r="19" spans="1:9" x14ac:dyDescent="0.35">
      <c r="A19" t="s">
        <v>41</v>
      </c>
      <c r="B19" t="s">
        <v>42</v>
      </c>
      <c r="C19">
        <v>0.28610000000000002</v>
      </c>
      <c r="D19">
        <v>3.0000000000000001E-3</v>
      </c>
      <c r="E19">
        <v>266357437</v>
      </c>
      <c r="F19">
        <v>13854074</v>
      </c>
      <c r="G19" t="s">
        <v>145</v>
      </c>
      <c r="H19">
        <v>930990000</v>
      </c>
      <c r="I19" t="str">
        <f t="shared" si="0"/>
        <v>$0-$50</v>
      </c>
    </row>
    <row r="20" spans="1:9" x14ac:dyDescent="0.35">
      <c r="A20" t="s">
        <v>162</v>
      </c>
      <c r="B20" t="s">
        <v>163</v>
      </c>
      <c r="C20">
        <v>6.2700000000000006E-2</v>
      </c>
      <c r="D20">
        <v>1.9E-3</v>
      </c>
      <c r="E20">
        <v>264481802</v>
      </c>
      <c r="F20">
        <v>12531234</v>
      </c>
      <c r="G20" t="s">
        <v>145</v>
      </c>
      <c r="H20">
        <v>990100000000000</v>
      </c>
      <c r="I20" t="str">
        <f t="shared" si="0"/>
        <v>$0-$50</v>
      </c>
    </row>
    <row r="21" spans="1:9" x14ac:dyDescent="0.35">
      <c r="A21" t="s">
        <v>43</v>
      </c>
      <c r="B21" t="s">
        <v>44</v>
      </c>
      <c r="C21">
        <v>6.2600000000000003E-2</v>
      </c>
      <c r="D21">
        <v>6.1999999999999998E-3</v>
      </c>
      <c r="E21">
        <v>261321974</v>
      </c>
      <c r="F21">
        <v>11801193</v>
      </c>
      <c r="G21" t="s">
        <v>144</v>
      </c>
      <c r="H21">
        <v>987030000000000</v>
      </c>
      <c r="I21" t="str">
        <f t="shared" si="0"/>
        <v>$0-$50</v>
      </c>
    </row>
    <row r="22" spans="1:9" x14ac:dyDescent="0.35">
      <c r="A22" t="s">
        <v>31</v>
      </c>
      <c r="B22" t="s">
        <v>32</v>
      </c>
      <c r="C22">
        <v>0.24060000000000001</v>
      </c>
      <c r="D22">
        <v>5.8999999999999999E-3</v>
      </c>
      <c r="E22">
        <v>261597532</v>
      </c>
      <c r="F22">
        <v>21160459</v>
      </c>
      <c r="G22" t="s">
        <v>144</v>
      </c>
      <c r="H22">
        <v>1080000000</v>
      </c>
      <c r="I22" t="str">
        <f t="shared" si="0"/>
        <v>$0-$50</v>
      </c>
    </row>
    <row r="23" spans="1:9" x14ac:dyDescent="0.35">
      <c r="A23" t="s">
        <v>164</v>
      </c>
      <c r="B23" t="s">
        <v>165</v>
      </c>
      <c r="C23">
        <v>2.4500000000000001E-2</v>
      </c>
      <c r="D23">
        <v>6.9999999999999999E-4</v>
      </c>
      <c r="E23">
        <v>254959926</v>
      </c>
      <c r="F23">
        <v>80182341</v>
      </c>
      <c r="G23" t="s">
        <v>144</v>
      </c>
      <c r="H23">
        <v>10390000000</v>
      </c>
      <c r="I23" t="str">
        <f t="shared" si="0"/>
        <v>$0-$50</v>
      </c>
    </row>
    <row r="24" spans="1:9" x14ac:dyDescent="0.35">
      <c r="A24" t="s">
        <v>39</v>
      </c>
      <c r="B24" t="s">
        <v>40</v>
      </c>
      <c r="C24">
        <v>0.28649999999999998</v>
      </c>
      <c r="D24">
        <v>9.1000000000000004E-3</v>
      </c>
      <c r="E24">
        <v>252395264</v>
      </c>
      <c r="F24">
        <v>55933141</v>
      </c>
      <c r="G24" t="s">
        <v>145</v>
      </c>
      <c r="H24">
        <v>880660000</v>
      </c>
      <c r="I24" t="str">
        <f t="shared" si="0"/>
        <v>$0-$50</v>
      </c>
    </row>
    <row r="25" spans="1:9" x14ac:dyDescent="0.35">
      <c r="A25" t="s">
        <v>37</v>
      </c>
      <c r="B25" t="s">
        <v>38</v>
      </c>
      <c r="C25">
        <v>0.12540000000000001</v>
      </c>
      <c r="D25">
        <v>1E-4</v>
      </c>
      <c r="E25">
        <v>250900826</v>
      </c>
      <c r="F25">
        <v>24328657</v>
      </c>
      <c r="G25" t="s">
        <v>144</v>
      </c>
      <c r="H25">
        <v>2000000000</v>
      </c>
      <c r="I25" t="str">
        <f t="shared" si="0"/>
        <v>$0-$50</v>
      </c>
    </row>
    <row r="26" spans="1:9" x14ac:dyDescent="0.35">
      <c r="A26" t="s">
        <v>47</v>
      </c>
      <c r="B26" t="s">
        <v>48</v>
      </c>
      <c r="C26">
        <v>0.51719999999999999</v>
      </c>
      <c r="D26">
        <v>1.5900000000000001E-2</v>
      </c>
      <c r="E26">
        <v>248179055</v>
      </c>
      <c r="F26">
        <v>48228844</v>
      </c>
      <c r="G26" t="s">
        <v>144</v>
      </c>
      <c r="H26">
        <v>479780000</v>
      </c>
      <c r="I26" t="str">
        <f t="shared" si="0"/>
        <v>$0-$50</v>
      </c>
    </row>
    <row r="27" spans="1:9" x14ac:dyDescent="0.35">
      <c r="A27" t="s">
        <v>166</v>
      </c>
      <c r="B27" t="s">
        <v>167</v>
      </c>
      <c r="C27">
        <v>2.0899999999999998E-2</v>
      </c>
      <c r="D27">
        <v>8.0000000000000004E-4</v>
      </c>
      <c r="E27">
        <v>247632562</v>
      </c>
      <c r="F27">
        <v>87830456</v>
      </c>
      <c r="G27" t="s">
        <v>145</v>
      </c>
      <c r="H27">
        <v>11820000000</v>
      </c>
      <c r="I27" t="str">
        <f t="shared" si="0"/>
        <v>$0-$50</v>
      </c>
    </row>
    <row r="28" spans="1:9" x14ac:dyDescent="0.35">
      <c r="A28" t="s">
        <v>33</v>
      </c>
      <c r="B28" t="s">
        <v>34</v>
      </c>
      <c r="C28">
        <v>3.1399999999999997E-2</v>
      </c>
      <c r="D28">
        <v>8.5000000000000006E-3</v>
      </c>
      <c r="E28">
        <v>247031990</v>
      </c>
      <c r="F28">
        <v>13164245</v>
      </c>
      <c r="G28" t="s">
        <v>145</v>
      </c>
      <c r="H28">
        <v>7870000000</v>
      </c>
      <c r="I28" t="str">
        <f t="shared" si="0"/>
        <v>$0-$50</v>
      </c>
    </row>
    <row r="29" spans="1:9" x14ac:dyDescent="0.35">
      <c r="A29" t="s">
        <v>51</v>
      </c>
      <c r="B29" t="s">
        <v>52</v>
      </c>
      <c r="C29">
        <v>2.3999999999999998E-3</v>
      </c>
      <c r="D29">
        <v>6.1000000000000004E-3</v>
      </c>
      <c r="E29">
        <v>243283377</v>
      </c>
      <c r="F29">
        <v>12663323</v>
      </c>
      <c r="G29" t="s">
        <v>144</v>
      </c>
      <c r="H29">
        <v>99990000000</v>
      </c>
      <c r="I29" t="str">
        <f t="shared" si="0"/>
        <v>$0-$50</v>
      </c>
    </row>
    <row r="30" spans="1:9" x14ac:dyDescent="0.35">
      <c r="A30" t="s">
        <v>49</v>
      </c>
      <c r="B30" t="s">
        <v>50</v>
      </c>
      <c r="C30">
        <v>6.9599999999999995E-2</v>
      </c>
      <c r="D30">
        <v>1.6999999999999999E-3</v>
      </c>
      <c r="E30">
        <v>241466434</v>
      </c>
      <c r="F30">
        <v>7123655</v>
      </c>
      <c r="G30" t="s">
        <v>145</v>
      </c>
      <c r="H30">
        <v>3470000000</v>
      </c>
      <c r="I30" t="str">
        <f t="shared" si="0"/>
        <v>$0-$50</v>
      </c>
    </row>
    <row r="31" spans="1:9" x14ac:dyDescent="0.35">
      <c r="A31" t="s">
        <v>45</v>
      </c>
      <c r="B31" t="s">
        <v>46</v>
      </c>
      <c r="C31">
        <v>90.35</v>
      </c>
      <c r="D31">
        <v>2.8E-3</v>
      </c>
      <c r="E31">
        <v>238500300</v>
      </c>
      <c r="F31">
        <v>8245189</v>
      </c>
      <c r="G31" t="s">
        <v>145</v>
      </c>
      <c r="H31">
        <v>2630000</v>
      </c>
      <c r="I31" t="str">
        <f t="shared" si="0"/>
        <v>Above $50</v>
      </c>
    </row>
    <row r="32" spans="1:9" x14ac:dyDescent="0.35">
      <c r="A32" t="s">
        <v>53</v>
      </c>
      <c r="B32" t="s">
        <v>54</v>
      </c>
      <c r="C32">
        <v>1.2999999999999999E-2</v>
      </c>
      <c r="D32">
        <v>2.0000000000000001E-4</v>
      </c>
      <c r="E32">
        <v>8117598746</v>
      </c>
      <c r="F32">
        <v>50695389</v>
      </c>
      <c r="G32" t="s">
        <v>145</v>
      </c>
      <c r="H32">
        <v>622640000000</v>
      </c>
      <c r="I32" t="str">
        <f t="shared" si="0"/>
        <v>$0-$50</v>
      </c>
    </row>
    <row r="33" spans="1:9" x14ac:dyDescent="0.35">
      <c r="A33" t="s">
        <v>55</v>
      </c>
      <c r="B33" t="s">
        <v>55</v>
      </c>
      <c r="C33">
        <v>9.32</v>
      </c>
      <c r="D33">
        <v>3.4099999999999998E-2</v>
      </c>
      <c r="E33">
        <v>2890106122</v>
      </c>
      <c r="F33">
        <v>131356485</v>
      </c>
      <c r="G33" t="s">
        <v>145</v>
      </c>
      <c r="H33">
        <v>309950000</v>
      </c>
      <c r="I33" t="str">
        <f t="shared" si="0"/>
        <v>$0-$50</v>
      </c>
    </row>
    <row r="34" spans="1:9" x14ac:dyDescent="0.35">
      <c r="A34" t="s">
        <v>56</v>
      </c>
      <c r="B34" t="s">
        <v>57</v>
      </c>
      <c r="C34">
        <v>1.1299999999999999</v>
      </c>
      <c r="D34">
        <v>1.6999999999999999E-3</v>
      </c>
      <c r="E34">
        <v>2140253880</v>
      </c>
      <c r="F34">
        <v>250723</v>
      </c>
      <c r="G34" t="s">
        <v>144</v>
      </c>
      <c r="H34">
        <v>1880000000</v>
      </c>
      <c r="I34" t="str">
        <f t="shared" si="0"/>
        <v>$0-$50</v>
      </c>
    </row>
    <row r="35" spans="1:9" x14ac:dyDescent="0.35">
      <c r="A35" t="s">
        <v>58</v>
      </c>
      <c r="B35" t="s">
        <v>58</v>
      </c>
      <c r="C35">
        <v>5.1700000000000003E-2</v>
      </c>
      <c r="D35">
        <v>1.1999999999999999E-3</v>
      </c>
      <c r="E35">
        <v>1565068927</v>
      </c>
      <c r="F35">
        <v>31262065</v>
      </c>
      <c r="G35" t="s">
        <v>145</v>
      </c>
      <c r="H35">
        <v>905700000000000</v>
      </c>
      <c r="I35" t="str">
        <f t="shared" si="0"/>
        <v>$0-$50</v>
      </c>
    </row>
    <row r="36" spans="1:9" x14ac:dyDescent="0.35">
      <c r="A36" t="s">
        <v>59</v>
      </c>
      <c r="B36" t="s">
        <v>60</v>
      </c>
      <c r="C36">
        <v>0.99639999999999995</v>
      </c>
      <c r="D36">
        <v>5.9999999999999995E-4</v>
      </c>
      <c r="E36">
        <v>1297731215</v>
      </c>
      <c r="F36">
        <v>3375873</v>
      </c>
      <c r="G36" t="s">
        <v>145</v>
      </c>
      <c r="H36">
        <v>1300000000</v>
      </c>
      <c r="I36" t="str">
        <f t="shared" si="0"/>
        <v>$0-$50</v>
      </c>
    </row>
    <row r="37" spans="1:9" x14ac:dyDescent="0.35">
      <c r="A37" t="s">
        <v>61</v>
      </c>
      <c r="B37" t="s">
        <v>62</v>
      </c>
      <c r="C37">
        <v>0.184</v>
      </c>
      <c r="D37">
        <v>3.5000000000000001E-3</v>
      </c>
      <c r="E37">
        <v>820728735</v>
      </c>
      <c r="F37">
        <v>13299991</v>
      </c>
      <c r="G37" t="s">
        <v>144</v>
      </c>
      <c r="H37">
        <v>4450000000</v>
      </c>
      <c r="I37" t="str">
        <f t="shared" si="0"/>
        <v>$0-$50</v>
      </c>
    </row>
    <row r="38" spans="1:9" x14ac:dyDescent="0.35">
      <c r="A38" t="s">
        <v>63</v>
      </c>
      <c r="B38" t="s">
        <v>64</v>
      </c>
      <c r="C38">
        <v>3.21</v>
      </c>
      <c r="D38">
        <v>1E-4</v>
      </c>
      <c r="E38">
        <v>714715192</v>
      </c>
      <c r="F38">
        <v>14229959</v>
      </c>
      <c r="G38" t="s">
        <v>145</v>
      </c>
      <c r="H38">
        <v>221970000</v>
      </c>
      <c r="I38" t="str">
        <f t="shared" si="0"/>
        <v>$0-$50</v>
      </c>
    </row>
    <row r="39" spans="1:9" x14ac:dyDescent="0.35">
      <c r="A39" t="s">
        <v>65</v>
      </c>
      <c r="B39" t="s">
        <v>66</v>
      </c>
      <c r="C39">
        <v>7.8700000000000006E-2</v>
      </c>
      <c r="D39">
        <v>5.4000000000000003E-3</v>
      </c>
      <c r="E39">
        <v>609084813</v>
      </c>
      <c r="F39">
        <v>10007774</v>
      </c>
      <c r="G39" t="s">
        <v>144</v>
      </c>
      <c r="H39">
        <v>7730000000</v>
      </c>
      <c r="I39" t="str">
        <f t="shared" si="0"/>
        <v>$0-$50</v>
      </c>
    </row>
    <row r="40" spans="1:9" x14ac:dyDescent="0.35">
      <c r="A40" t="s">
        <v>67</v>
      </c>
      <c r="B40" t="s">
        <v>67</v>
      </c>
      <c r="C40">
        <v>0.99919999999999998</v>
      </c>
      <c r="D40">
        <v>4.0000000000000002E-4</v>
      </c>
      <c r="E40">
        <v>583570858</v>
      </c>
      <c r="F40">
        <v>2244874</v>
      </c>
      <c r="G40" t="s">
        <v>145</v>
      </c>
      <c r="H40">
        <v>584000000</v>
      </c>
      <c r="I40" t="str">
        <f t="shared" si="0"/>
        <v>$0-$50</v>
      </c>
    </row>
    <row r="41" spans="1:9" x14ac:dyDescent="0.35">
      <c r="A41" t="s">
        <v>68</v>
      </c>
      <c r="B41" t="s">
        <v>69</v>
      </c>
      <c r="C41">
        <v>105.91</v>
      </c>
      <c r="D41">
        <v>0</v>
      </c>
      <c r="E41">
        <v>571672236</v>
      </c>
      <c r="F41">
        <v>423</v>
      </c>
      <c r="G41" t="s">
        <v>145</v>
      </c>
      <c r="H41">
        <v>5390000</v>
      </c>
      <c r="I41" t="str">
        <f t="shared" si="0"/>
        <v>Above $50</v>
      </c>
    </row>
    <row r="42" spans="1:9" x14ac:dyDescent="0.35">
      <c r="A42" t="s">
        <v>70</v>
      </c>
      <c r="B42" t="s">
        <v>71</v>
      </c>
      <c r="C42">
        <v>1</v>
      </c>
      <c r="D42">
        <v>2.9999999999999997E-4</v>
      </c>
      <c r="E42">
        <v>491058984</v>
      </c>
      <c r="F42">
        <v>312567119</v>
      </c>
      <c r="G42" t="s">
        <v>145</v>
      </c>
      <c r="H42">
        <v>490620000</v>
      </c>
      <c r="I42" t="str">
        <f t="shared" si="0"/>
        <v>$0-$50</v>
      </c>
    </row>
    <row r="43" spans="1:9" x14ac:dyDescent="0.35">
      <c r="A43" t="s">
        <v>72</v>
      </c>
      <c r="B43" t="s">
        <v>72</v>
      </c>
      <c r="C43">
        <v>1</v>
      </c>
      <c r="D43">
        <v>0</v>
      </c>
      <c r="E43">
        <v>305808446</v>
      </c>
      <c r="F43">
        <v>1874312</v>
      </c>
      <c r="G43" t="s">
        <v>144</v>
      </c>
      <c r="H43">
        <v>305800000</v>
      </c>
      <c r="I43" t="str">
        <f t="shared" si="0"/>
        <v>$0-$50</v>
      </c>
    </row>
    <row r="44" spans="1:9" x14ac:dyDescent="0.35">
      <c r="A44" t="s">
        <v>168</v>
      </c>
      <c r="B44" t="s">
        <v>169</v>
      </c>
      <c r="C44">
        <v>0.9929</v>
      </c>
      <c r="D44">
        <v>0</v>
      </c>
      <c r="E44">
        <v>273892137</v>
      </c>
      <c r="F44">
        <v>13849236</v>
      </c>
      <c r="G44" t="s">
        <v>144</v>
      </c>
      <c r="H44">
        <v>275840000</v>
      </c>
      <c r="I44" t="str">
        <f t="shared" si="0"/>
        <v>$0-$50</v>
      </c>
    </row>
    <row r="45" spans="1:9" x14ac:dyDescent="0.35">
      <c r="A45" t="s">
        <v>170</v>
      </c>
      <c r="B45" t="s">
        <v>171</v>
      </c>
      <c r="C45">
        <v>1.4200000000000001E-2</v>
      </c>
      <c r="D45">
        <v>6.1000000000000004E-3</v>
      </c>
      <c r="E45">
        <v>67643803</v>
      </c>
      <c r="F45">
        <v>5138075</v>
      </c>
      <c r="G45" t="s">
        <v>144</v>
      </c>
      <c r="H45">
        <v>4770000000</v>
      </c>
      <c r="I45" t="str">
        <f t="shared" si="0"/>
        <v>$0-$50</v>
      </c>
    </row>
    <row r="46" spans="1:9" x14ac:dyDescent="0.35">
      <c r="A46" t="s">
        <v>172</v>
      </c>
      <c r="B46" t="s">
        <v>173</v>
      </c>
      <c r="C46">
        <v>79.25</v>
      </c>
      <c r="D46">
        <v>2.0000000000000001E-4</v>
      </c>
      <c r="E46">
        <v>67492922</v>
      </c>
      <c r="F46">
        <v>1492</v>
      </c>
      <c r="G46" t="s">
        <v>145</v>
      </c>
      <c r="H46">
        <v>851580</v>
      </c>
      <c r="I46" t="str">
        <f t="shared" si="0"/>
        <v>Above $50</v>
      </c>
    </row>
    <row r="47" spans="1:9" x14ac:dyDescent="0.35">
      <c r="A47" t="s">
        <v>73</v>
      </c>
      <c r="B47" t="s">
        <v>74</v>
      </c>
      <c r="C47">
        <v>6.8199999999999997E-2</v>
      </c>
      <c r="D47">
        <v>1.55E-2</v>
      </c>
      <c r="E47">
        <v>67243924</v>
      </c>
      <c r="F47">
        <v>204652</v>
      </c>
      <c r="G47" t="s">
        <v>145</v>
      </c>
      <c r="H47">
        <v>986440000</v>
      </c>
      <c r="I47" t="str">
        <f t="shared" si="0"/>
        <v>$0-$50</v>
      </c>
    </row>
    <row r="48" spans="1:9" x14ac:dyDescent="0.35">
      <c r="A48" t="s">
        <v>174</v>
      </c>
      <c r="B48" t="s">
        <v>175</v>
      </c>
      <c r="C48">
        <v>746.2</v>
      </c>
      <c r="D48">
        <v>6.9999999999999999E-4</v>
      </c>
      <c r="E48">
        <v>66999291</v>
      </c>
      <c r="F48">
        <v>1091042</v>
      </c>
      <c r="G48" t="s">
        <v>144</v>
      </c>
      <c r="H48">
        <v>89780</v>
      </c>
      <c r="I48" t="str">
        <f t="shared" si="0"/>
        <v>Above $50</v>
      </c>
    </row>
    <row r="49" spans="1:9" x14ac:dyDescent="0.35">
      <c r="A49" t="s">
        <v>176</v>
      </c>
      <c r="B49" t="s">
        <v>177</v>
      </c>
      <c r="C49">
        <v>4.1000000000000003E-3</v>
      </c>
      <c r="D49">
        <v>5.8999999999999999E-3</v>
      </c>
      <c r="E49">
        <v>66960760</v>
      </c>
      <c r="F49">
        <v>10832272</v>
      </c>
      <c r="G49" t="s">
        <v>145</v>
      </c>
      <c r="H49">
        <v>16280000000.000002</v>
      </c>
      <c r="I49" t="str">
        <f t="shared" si="0"/>
        <v>$0-$50</v>
      </c>
    </row>
    <row r="50" spans="1:9" x14ac:dyDescent="0.35">
      <c r="A50" t="s">
        <v>178</v>
      </c>
      <c r="B50" t="s">
        <v>179</v>
      </c>
      <c r="C50">
        <v>0.24160000000000001</v>
      </c>
      <c r="D50">
        <v>1.8E-3</v>
      </c>
      <c r="E50">
        <v>66707414</v>
      </c>
      <c r="F50">
        <v>22230640</v>
      </c>
      <c r="G50" t="s">
        <v>145</v>
      </c>
      <c r="H50">
        <v>276050000</v>
      </c>
      <c r="I50" t="str">
        <f t="shared" si="0"/>
        <v>$0-$50</v>
      </c>
    </row>
    <row r="51" spans="1:9" x14ac:dyDescent="0.35">
      <c r="A51" t="s">
        <v>180</v>
      </c>
      <c r="B51" t="s">
        <v>181</v>
      </c>
      <c r="C51">
        <v>7.8200000000000006E-2</v>
      </c>
      <c r="D51">
        <v>5.1999999999999998E-3</v>
      </c>
      <c r="E51">
        <v>65908563</v>
      </c>
      <c r="F51">
        <v>238851</v>
      </c>
      <c r="G51" t="s">
        <v>144</v>
      </c>
      <c r="H51">
        <v>842760000</v>
      </c>
      <c r="I51" t="str">
        <f t="shared" si="0"/>
        <v>$0-$50</v>
      </c>
    </row>
    <row r="52" spans="1:9" x14ac:dyDescent="0.35">
      <c r="A52" t="s">
        <v>182</v>
      </c>
      <c r="B52" t="s">
        <v>183</v>
      </c>
      <c r="C52">
        <v>5.2299999999999999E-2</v>
      </c>
      <c r="D52">
        <v>1.5E-3</v>
      </c>
      <c r="E52">
        <v>65765710</v>
      </c>
      <c r="F52">
        <v>5958343</v>
      </c>
      <c r="G52" t="s">
        <v>145</v>
      </c>
      <c r="H52">
        <v>1250000000</v>
      </c>
      <c r="I52" t="str">
        <f t="shared" si="0"/>
        <v>$0-$50</v>
      </c>
    </row>
    <row r="53" spans="1:9" x14ac:dyDescent="0.35">
      <c r="A53" t="s">
        <v>184</v>
      </c>
      <c r="B53" t="s">
        <v>185</v>
      </c>
      <c r="C53">
        <v>8.8999999999999996E-2</v>
      </c>
      <c r="D53">
        <v>7.1000000000000004E-3</v>
      </c>
      <c r="E53">
        <v>65648698</v>
      </c>
      <c r="F53">
        <v>533716</v>
      </c>
      <c r="G53" t="s">
        <v>145</v>
      </c>
      <c r="H53">
        <v>737520000</v>
      </c>
      <c r="I53" t="str">
        <f t="shared" si="0"/>
        <v>$0-$50</v>
      </c>
    </row>
    <row r="54" spans="1:9" x14ac:dyDescent="0.35">
      <c r="A54" t="s">
        <v>76</v>
      </c>
      <c r="B54" t="s">
        <v>77</v>
      </c>
      <c r="C54">
        <v>2.2599999999999999E-2</v>
      </c>
      <c r="D54">
        <v>3.4299999999999997E-2</v>
      </c>
      <c r="E54">
        <v>65583008</v>
      </c>
      <c r="F54">
        <v>11639267</v>
      </c>
      <c r="G54" t="s">
        <v>145</v>
      </c>
      <c r="H54">
        <v>2890000000</v>
      </c>
      <c r="I54" t="str">
        <f t="shared" si="0"/>
        <v>$0-$50</v>
      </c>
    </row>
    <row r="55" spans="1:9" x14ac:dyDescent="0.35">
      <c r="A55" t="s">
        <v>78</v>
      </c>
      <c r="B55" t="s">
        <v>79</v>
      </c>
      <c r="C55">
        <v>0.1489</v>
      </c>
      <c r="D55">
        <v>3.0000000000000001E-3</v>
      </c>
      <c r="E55">
        <v>65371126</v>
      </c>
      <c r="F55">
        <v>789243</v>
      </c>
      <c r="G55" t="s">
        <v>144</v>
      </c>
      <c r="H55">
        <v>438770000</v>
      </c>
      <c r="I55" t="str">
        <f t="shared" si="0"/>
        <v>$0-$50</v>
      </c>
    </row>
    <row r="56" spans="1:9" x14ac:dyDescent="0.35">
      <c r="A56" t="s">
        <v>186</v>
      </c>
      <c r="B56" t="s">
        <v>187</v>
      </c>
      <c r="C56">
        <v>3.56</v>
      </c>
      <c r="D56">
        <v>5.4000000000000003E-3</v>
      </c>
      <c r="E56">
        <v>65311608</v>
      </c>
      <c r="F56">
        <v>15229544</v>
      </c>
      <c r="G56" t="s">
        <v>145</v>
      </c>
      <c r="H56">
        <v>18310000</v>
      </c>
      <c r="I56" t="str">
        <f t="shared" si="0"/>
        <v>$0-$50</v>
      </c>
    </row>
    <row r="57" spans="1:9" x14ac:dyDescent="0.35">
      <c r="A57" t="s">
        <v>188</v>
      </c>
      <c r="B57" t="s">
        <v>189</v>
      </c>
      <c r="C57">
        <v>0.16170000000000001</v>
      </c>
      <c r="D57">
        <v>9.5999999999999992E-3</v>
      </c>
      <c r="E57">
        <v>64581629</v>
      </c>
      <c r="F57">
        <v>6074209</v>
      </c>
      <c r="G57" t="s">
        <v>145</v>
      </c>
      <c r="H57">
        <v>399310000</v>
      </c>
      <c r="I57" t="str">
        <f t="shared" si="0"/>
        <v>$0-$50</v>
      </c>
    </row>
    <row r="58" spans="1:9" x14ac:dyDescent="0.35">
      <c r="A58" t="s">
        <v>190</v>
      </c>
      <c r="B58" t="s">
        <v>191</v>
      </c>
      <c r="C58">
        <v>80.22</v>
      </c>
      <c r="D58">
        <v>0</v>
      </c>
      <c r="E58">
        <v>64458178</v>
      </c>
      <c r="F58">
        <v>680</v>
      </c>
      <c r="G58" t="s">
        <v>145</v>
      </c>
      <c r="H58">
        <v>803510</v>
      </c>
      <c r="I58" t="str">
        <f t="shared" si="0"/>
        <v>Above $50</v>
      </c>
    </row>
    <row r="59" spans="1:9" x14ac:dyDescent="0.35">
      <c r="A59" t="s">
        <v>192</v>
      </c>
      <c r="B59" t="s">
        <v>193</v>
      </c>
      <c r="C59">
        <v>1.12E-2</v>
      </c>
      <c r="D59">
        <v>5.4999999999999997E-3</v>
      </c>
      <c r="E59">
        <v>64401807</v>
      </c>
      <c r="F59">
        <v>24722387</v>
      </c>
      <c r="G59" t="s">
        <v>144</v>
      </c>
      <c r="H59">
        <v>5750000000</v>
      </c>
      <c r="I59" t="str">
        <f t="shared" si="0"/>
        <v>$0-$50</v>
      </c>
    </row>
    <row r="60" spans="1:9" x14ac:dyDescent="0.35">
      <c r="A60" t="s">
        <v>194</v>
      </c>
      <c r="B60" t="s">
        <v>195</v>
      </c>
      <c r="C60">
        <v>4.1399999999999999E-2</v>
      </c>
      <c r="D60">
        <v>1.8E-3</v>
      </c>
      <c r="E60">
        <v>48952469</v>
      </c>
      <c r="F60">
        <v>7896120</v>
      </c>
      <c r="G60" t="s">
        <v>145</v>
      </c>
      <c r="H60">
        <v>1180000000</v>
      </c>
      <c r="I60" t="str">
        <f t="shared" si="0"/>
        <v>$0-$50</v>
      </c>
    </row>
    <row r="61" spans="1:9" x14ac:dyDescent="0.35">
      <c r="A61" t="s">
        <v>196</v>
      </c>
      <c r="B61" t="s">
        <v>197</v>
      </c>
      <c r="C61">
        <v>80.5</v>
      </c>
      <c r="D61">
        <v>0</v>
      </c>
      <c r="E61">
        <v>48945358</v>
      </c>
      <c r="F61">
        <v>380</v>
      </c>
      <c r="G61" t="s">
        <v>145</v>
      </c>
      <c r="H61">
        <v>608010</v>
      </c>
      <c r="I61" t="str">
        <f t="shared" si="0"/>
        <v>Above $50</v>
      </c>
    </row>
    <row r="62" spans="1:9" x14ac:dyDescent="0.35">
      <c r="A62" t="s">
        <v>198</v>
      </c>
      <c r="B62" t="s">
        <v>199</v>
      </c>
      <c r="C62">
        <v>74.400000000000006</v>
      </c>
      <c r="D62">
        <v>9.4999999999999998E-3</v>
      </c>
      <c r="E62">
        <v>48783089</v>
      </c>
      <c r="F62">
        <v>17532</v>
      </c>
      <c r="G62" t="s">
        <v>145</v>
      </c>
      <c r="H62">
        <v>655670</v>
      </c>
      <c r="I62" t="str">
        <f t="shared" si="0"/>
        <v>Above $50</v>
      </c>
    </row>
    <row r="63" spans="1:9" x14ac:dyDescent="0.35">
      <c r="A63" t="s">
        <v>200</v>
      </c>
      <c r="B63" t="s">
        <v>201</v>
      </c>
      <c r="C63">
        <v>2.0000000000000001E-4</v>
      </c>
      <c r="D63">
        <v>6.6E-3</v>
      </c>
      <c r="E63">
        <v>48767797</v>
      </c>
      <c r="F63">
        <v>985843</v>
      </c>
      <c r="G63" t="s">
        <v>144</v>
      </c>
      <c r="H63">
        <v>282560000000</v>
      </c>
      <c r="I63" t="str">
        <f t="shared" si="0"/>
        <v>$0-$50</v>
      </c>
    </row>
    <row r="64" spans="1:9" x14ac:dyDescent="0.35">
      <c r="A64" t="s">
        <v>202</v>
      </c>
      <c r="B64" t="s">
        <v>203</v>
      </c>
      <c r="C64">
        <v>0.1699</v>
      </c>
      <c r="D64">
        <v>1.1000000000000001E-3</v>
      </c>
      <c r="E64">
        <v>48740328</v>
      </c>
      <c r="F64">
        <v>15422449</v>
      </c>
      <c r="G64" t="s">
        <v>144</v>
      </c>
      <c r="H64">
        <v>286830000</v>
      </c>
      <c r="I64" t="str">
        <f t="shared" si="0"/>
        <v>$0-$50</v>
      </c>
    </row>
    <row r="65" spans="1:9" x14ac:dyDescent="0.35">
      <c r="A65" t="s">
        <v>204</v>
      </c>
      <c r="B65" t="s">
        <v>205</v>
      </c>
      <c r="C65">
        <v>3.13</v>
      </c>
      <c r="D65">
        <v>0</v>
      </c>
      <c r="E65">
        <v>48697028</v>
      </c>
      <c r="F65">
        <v>2438</v>
      </c>
      <c r="G65" t="s">
        <v>145</v>
      </c>
      <c r="H65">
        <v>15550000</v>
      </c>
      <c r="I65" t="str">
        <f t="shared" si="0"/>
        <v>$0-$50</v>
      </c>
    </row>
    <row r="66" spans="1:9" x14ac:dyDescent="0.35">
      <c r="A66" t="s">
        <v>206</v>
      </c>
      <c r="B66" t="s">
        <v>207</v>
      </c>
      <c r="C66">
        <v>5.5999999999999999E-3</v>
      </c>
      <c r="D66">
        <v>1.1000000000000001E-3</v>
      </c>
      <c r="E66">
        <v>48455448</v>
      </c>
      <c r="F66">
        <v>6358343</v>
      </c>
      <c r="G66" t="s">
        <v>144</v>
      </c>
      <c r="H66">
        <v>8700000000</v>
      </c>
      <c r="I66" t="str">
        <f t="shared" ref="I66:I129" si="1">IF(C66&lt;=50,"$0-$50","Above $50")</f>
        <v>$0-$50</v>
      </c>
    </row>
    <row r="67" spans="1:9" x14ac:dyDescent="0.35">
      <c r="A67" t="s">
        <v>208</v>
      </c>
      <c r="B67" t="s">
        <v>209</v>
      </c>
      <c r="C67">
        <v>6.2399999999999997E-2</v>
      </c>
      <c r="D67">
        <v>1E-4</v>
      </c>
      <c r="E67">
        <v>48212985</v>
      </c>
      <c r="F67">
        <v>7637657</v>
      </c>
      <c r="G67" t="s">
        <v>145</v>
      </c>
      <c r="H67">
        <v>772400000</v>
      </c>
      <c r="I67" t="str">
        <f t="shared" si="1"/>
        <v>$0-$50</v>
      </c>
    </row>
    <row r="68" spans="1:9" x14ac:dyDescent="0.35">
      <c r="A68" t="s">
        <v>210</v>
      </c>
      <c r="B68" t="s">
        <v>211</v>
      </c>
      <c r="C68">
        <v>8.8700000000000001E-2</v>
      </c>
      <c r="D68">
        <v>3.0000000000000001E-3</v>
      </c>
      <c r="E68">
        <v>47938768</v>
      </c>
      <c r="F68">
        <v>6086708</v>
      </c>
      <c r="G68" t="s">
        <v>144</v>
      </c>
      <c r="H68">
        <v>540650000</v>
      </c>
      <c r="I68" t="str">
        <f t="shared" si="1"/>
        <v>$0-$50</v>
      </c>
    </row>
    <row r="69" spans="1:9" x14ac:dyDescent="0.35">
      <c r="A69" t="s">
        <v>212</v>
      </c>
      <c r="B69" t="s">
        <v>213</v>
      </c>
      <c r="C69">
        <v>4297.6899999999996</v>
      </c>
      <c r="D69">
        <v>2.2000000000000001E-3</v>
      </c>
      <c r="E69">
        <v>48139273</v>
      </c>
      <c r="F69">
        <v>976085</v>
      </c>
      <c r="G69" t="s">
        <v>145</v>
      </c>
      <c r="H69">
        <v>11200</v>
      </c>
      <c r="I69" t="str">
        <f t="shared" si="1"/>
        <v>Above $50</v>
      </c>
    </row>
    <row r="70" spans="1:9" x14ac:dyDescent="0.35">
      <c r="A70" t="s">
        <v>214</v>
      </c>
      <c r="B70" t="s">
        <v>215</v>
      </c>
      <c r="C70">
        <v>4.1999999999999997E-3</v>
      </c>
      <c r="D70">
        <v>1.54E-2</v>
      </c>
      <c r="E70">
        <v>48119901</v>
      </c>
      <c r="F70">
        <v>5545498</v>
      </c>
      <c r="G70" t="s">
        <v>145</v>
      </c>
      <c r="H70">
        <v>11490000000</v>
      </c>
      <c r="I70" t="str">
        <f t="shared" si="1"/>
        <v>$0-$50</v>
      </c>
    </row>
    <row r="71" spans="1:9" x14ac:dyDescent="0.35">
      <c r="A71" t="s">
        <v>216</v>
      </c>
      <c r="B71" t="s">
        <v>217</v>
      </c>
      <c r="C71">
        <v>0.23980000000000001</v>
      </c>
      <c r="D71">
        <v>4.9399999999999999E-2</v>
      </c>
      <c r="E71">
        <v>48090384</v>
      </c>
      <c r="F71">
        <v>141536591</v>
      </c>
      <c r="G71" t="s">
        <v>145</v>
      </c>
      <c r="H71">
        <v>200500000</v>
      </c>
      <c r="I71" t="str">
        <f t="shared" si="1"/>
        <v>$0-$50</v>
      </c>
    </row>
    <row r="72" spans="1:9" x14ac:dyDescent="0.35">
      <c r="A72" t="s">
        <v>218</v>
      </c>
      <c r="B72" t="s">
        <v>219</v>
      </c>
      <c r="C72">
        <v>6.2199999999999998E-2</v>
      </c>
      <c r="D72">
        <v>1.06E-2</v>
      </c>
      <c r="E72">
        <v>47866357</v>
      </c>
      <c r="F72">
        <v>1720458</v>
      </c>
      <c r="G72" t="s">
        <v>145</v>
      </c>
      <c r="H72">
        <v>770000000</v>
      </c>
      <c r="I72" t="str">
        <f t="shared" si="1"/>
        <v>$0-$50</v>
      </c>
    </row>
    <row r="73" spans="1:9" x14ac:dyDescent="0.35">
      <c r="A73" t="s">
        <v>220</v>
      </c>
      <c r="B73" t="s">
        <v>221</v>
      </c>
      <c r="C73">
        <v>0.1376</v>
      </c>
      <c r="D73">
        <v>5.4999999999999997E-3</v>
      </c>
      <c r="E73">
        <v>47690084</v>
      </c>
      <c r="F73">
        <v>48669769</v>
      </c>
      <c r="G73" t="s">
        <v>145</v>
      </c>
      <c r="H73">
        <v>346460000</v>
      </c>
      <c r="I73" t="str">
        <f t="shared" si="1"/>
        <v>$0-$50</v>
      </c>
    </row>
    <row r="74" spans="1:9" x14ac:dyDescent="0.35">
      <c r="A74" t="s">
        <v>222</v>
      </c>
      <c r="B74" t="s">
        <v>223</v>
      </c>
      <c r="C74">
        <v>5.0000000000000001E-4</v>
      </c>
      <c r="D74">
        <v>6.3E-3</v>
      </c>
      <c r="E74">
        <v>47484528</v>
      </c>
      <c r="F74">
        <v>8718804</v>
      </c>
      <c r="G74" t="s">
        <v>145</v>
      </c>
      <c r="H74">
        <v>86780000000</v>
      </c>
      <c r="I74" t="str">
        <f t="shared" si="1"/>
        <v>$0-$50</v>
      </c>
    </row>
    <row r="75" spans="1:9" x14ac:dyDescent="0.35">
      <c r="A75" t="s">
        <v>224</v>
      </c>
      <c r="B75" t="s">
        <v>225</v>
      </c>
      <c r="C75">
        <v>0.18240000000000001</v>
      </c>
      <c r="D75">
        <v>3.7000000000000002E-3</v>
      </c>
      <c r="E75">
        <v>35571971</v>
      </c>
      <c r="F75">
        <v>11440117</v>
      </c>
      <c r="G75" t="s">
        <v>145</v>
      </c>
      <c r="H75">
        <v>195000000</v>
      </c>
      <c r="I75" t="str">
        <f t="shared" si="1"/>
        <v>$0-$50</v>
      </c>
    </row>
    <row r="76" spans="1:9" x14ac:dyDescent="0.35">
      <c r="A76" t="s">
        <v>226</v>
      </c>
      <c r="B76" t="s">
        <v>227</v>
      </c>
      <c r="C76">
        <v>0.99960000000000004</v>
      </c>
      <c r="D76">
        <v>5.9999999999999995E-4</v>
      </c>
      <c r="E76">
        <v>35541504</v>
      </c>
      <c r="F76">
        <v>964372</v>
      </c>
      <c r="G76" t="s">
        <v>144</v>
      </c>
      <c r="H76">
        <v>35550000</v>
      </c>
      <c r="I76" t="str">
        <f t="shared" si="1"/>
        <v>$0-$50</v>
      </c>
    </row>
    <row r="77" spans="1:9" x14ac:dyDescent="0.35">
      <c r="A77" t="s">
        <v>228</v>
      </c>
      <c r="B77" t="s">
        <v>229</v>
      </c>
      <c r="C77">
        <v>5.9999999999999995E-4</v>
      </c>
      <c r="D77">
        <v>1.9E-3</v>
      </c>
      <c r="E77">
        <v>35282668</v>
      </c>
      <c r="F77">
        <v>153322722</v>
      </c>
      <c r="G77" t="s">
        <v>145</v>
      </c>
      <c r="H77">
        <v>63510000000</v>
      </c>
      <c r="I77" t="str">
        <f t="shared" si="1"/>
        <v>$0-$50</v>
      </c>
    </row>
    <row r="78" spans="1:9" x14ac:dyDescent="0.35">
      <c r="A78" t="s">
        <v>230</v>
      </c>
      <c r="B78" t="s">
        <v>231</v>
      </c>
      <c r="C78">
        <v>9.2200000000000006</v>
      </c>
      <c r="D78">
        <v>9.7000000000000003E-3</v>
      </c>
      <c r="E78">
        <v>35242668</v>
      </c>
      <c r="F78">
        <v>92643</v>
      </c>
      <c r="G78" t="s">
        <v>144</v>
      </c>
      <c r="H78">
        <v>3810000</v>
      </c>
      <c r="I78" t="str">
        <f t="shared" si="1"/>
        <v>$0-$50</v>
      </c>
    </row>
    <row r="79" spans="1:9" x14ac:dyDescent="0.35">
      <c r="A79" t="s">
        <v>232</v>
      </c>
      <c r="B79" t="s">
        <v>233</v>
      </c>
      <c r="C79">
        <v>145.52000000000001</v>
      </c>
      <c r="D79">
        <v>0</v>
      </c>
      <c r="E79">
        <v>35190489</v>
      </c>
      <c r="F79">
        <v>296</v>
      </c>
      <c r="G79" t="s">
        <v>145</v>
      </c>
      <c r="H79">
        <v>241810</v>
      </c>
      <c r="I79" t="str">
        <f t="shared" si="1"/>
        <v>Above $50</v>
      </c>
    </row>
    <row r="80" spans="1:9" x14ac:dyDescent="0.35">
      <c r="A80" t="s">
        <v>234</v>
      </c>
      <c r="B80" t="s">
        <v>139</v>
      </c>
      <c r="C80">
        <v>0.34860000000000002</v>
      </c>
      <c r="D80">
        <v>4.7999999999999996E-3</v>
      </c>
      <c r="E80">
        <v>34868018</v>
      </c>
      <c r="F80">
        <v>24332761</v>
      </c>
      <c r="G80" t="s">
        <v>145</v>
      </c>
      <c r="H80">
        <v>100000000</v>
      </c>
      <c r="I80" t="str">
        <f t="shared" si="1"/>
        <v>$0-$50</v>
      </c>
    </row>
    <row r="81" spans="1:9" x14ac:dyDescent="0.35">
      <c r="A81" t="s">
        <v>235</v>
      </c>
      <c r="B81" t="s">
        <v>236</v>
      </c>
      <c r="C81">
        <v>4.9099999999999998E-2</v>
      </c>
      <c r="D81">
        <v>5.7000000000000002E-3</v>
      </c>
      <c r="E81">
        <v>34850619</v>
      </c>
      <c r="F81">
        <v>13466730</v>
      </c>
      <c r="G81" t="s">
        <v>144</v>
      </c>
      <c r="H81">
        <v>709980000</v>
      </c>
      <c r="I81" t="str">
        <f t="shared" si="1"/>
        <v>$0-$50</v>
      </c>
    </row>
    <row r="82" spans="1:9" x14ac:dyDescent="0.35">
      <c r="A82" t="s">
        <v>237</v>
      </c>
      <c r="B82" t="s">
        <v>238</v>
      </c>
      <c r="C82">
        <v>287.52999999999997</v>
      </c>
      <c r="D82">
        <v>0</v>
      </c>
      <c r="E82">
        <v>34702682</v>
      </c>
      <c r="F82">
        <v>2098</v>
      </c>
      <c r="G82" t="s">
        <v>145</v>
      </c>
      <c r="H82">
        <v>120680</v>
      </c>
      <c r="I82" t="str">
        <f t="shared" si="1"/>
        <v>Above $50</v>
      </c>
    </row>
    <row r="83" spans="1:9" x14ac:dyDescent="0.35">
      <c r="A83" t="s">
        <v>80</v>
      </c>
      <c r="B83" t="s">
        <v>81</v>
      </c>
      <c r="C83">
        <v>0.97740000000000005</v>
      </c>
      <c r="D83">
        <v>1.5E-3</v>
      </c>
      <c r="E83">
        <v>34660676</v>
      </c>
      <c r="F83">
        <v>126253</v>
      </c>
      <c r="G83" t="s">
        <v>145</v>
      </c>
      <c r="H83">
        <v>35460000</v>
      </c>
      <c r="I83" t="str">
        <f t="shared" si="1"/>
        <v>$0-$50</v>
      </c>
    </row>
    <row r="84" spans="1:9" x14ac:dyDescent="0.35">
      <c r="A84" t="s">
        <v>239</v>
      </c>
      <c r="B84" t="s">
        <v>240</v>
      </c>
      <c r="C84">
        <v>53.22</v>
      </c>
      <c r="D84">
        <v>0</v>
      </c>
      <c r="E84">
        <v>34637276</v>
      </c>
      <c r="F84">
        <v>261</v>
      </c>
      <c r="G84" t="s">
        <v>144</v>
      </c>
      <c r="H84">
        <v>650740</v>
      </c>
      <c r="I84" t="str">
        <f t="shared" si="1"/>
        <v>Above $50</v>
      </c>
    </row>
    <row r="85" spans="1:9" x14ac:dyDescent="0.35">
      <c r="A85" t="s">
        <v>82</v>
      </c>
      <c r="B85" t="s">
        <v>83</v>
      </c>
      <c r="C85">
        <v>0.10150000000000001</v>
      </c>
      <c r="D85">
        <v>2.3E-3</v>
      </c>
      <c r="E85">
        <v>34482045</v>
      </c>
      <c r="F85">
        <v>663357</v>
      </c>
      <c r="G85" t="s">
        <v>145</v>
      </c>
      <c r="H85">
        <v>339710000</v>
      </c>
      <c r="I85" t="str">
        <f t="shared" si="1"/>
        <v>$0-$50</v>
      </c>
    </row>
    <row r="86" spans="1:9" x14ac:dyDescent="0.35">
      <c r="A86" t="s">
        <v>84</v>
      </c>
      <c r="B86" t="s">
        <v>85</v>
      </c>
      <c r="C86">
        <v>4.0300000000000002E-2</v>
      </c>
      <c r="D86">
        <v>5.0000000000000001E-3</v>
      </c>
      <c r="E86">
        <v>34371708</v>
      </c>
      <c r="F86">
        <v>3227641</v>
      </c>
      <c r="G86" t="s">
        <v>145</v>
      </c>
      <c r="H86">
        <v>851870000</v>
      </c>
      <c r="I86" t="str">
        <f t="shared" si="1"/>
        <v>$0-$50</v>
      </c>
    </row>
    <row r="87" spans="1:9" x14ac:dyDescent="0.35">
      <c r="A87" t="s">
        <v>241</v>
      </c>
      <c r="B87" t="s">
        <v>242</v>
      </c>
      <c r="C87">
        <v>1.1499999999999999</v>
      </c>
      <c r="D87">
        <v>0</v>
      </c>
      <c r="E87">
        <v>34343871</v>
      </c>
      <c r="F87">
        <v>2365</v>
      </c>
      <c r="G87" t="s">
        <v>145</v>
      </c>
      <c r="H87">
        <v>29820000</v>
      </c>
      <c r="I87" t="str">
        <f t="shared" si="1"/>
        <v>$0-$50</v>
      </c>
    </row>
    <row r="88" spans="1:9" x14ac:dyDescent="0.35">
      <c r="A88" t="s">
        <v>243</v>
      </c>
      <c r="B88" t="s">
        <v>244</v>
      </c>
      <c r="C88">
        <v>270.39999999999998</v>
      </c>
      <c r="D88">
        <v>3.3E-3</v>
      </c>
      <c r="E88">
        <v>34210168</v>
      </c>
      <c r="F88">
        <v>6613197</v>
      </c>
      <c r="G88" t="s">
        <v>145</v>
      </c>
      <c r="H88">
        <v>126510</v>
      </c>
      <c r="I88" t="str">
        <f t="shared" si="1"/>
        <v>Above $50</v>
      </c>
    </row>
    <row r="89" spans="1:9" x14ac:dyDescent="0.35">
      <c r="A89" t="s">
        <v>245</v>
      </c>
      <c r="B89" t="s">
        <v>246</v>
      </c>
      <c r="C89">
        <v>0.1036</v>
      </c>
      <c r="D89">
        <v>3.0999999999999999E-3</v>
      </c>
      <c r="E89">
        <v>33577284</v>
      </c>
      <c r="F89">
        <v>17174665</v>
      </c>
      <c r="G89" t="s">
        <v>145</v>
      </c>
      <c r="H89">
        <v>323950000</v>
      </c>
      <c r="I89" t="str">
        <f t="shared" si="1"/>
        <v>$0-$50</v>
      </c>
    </row>
    <row r="90" spans="1:9" x14ac:dyDescent="0.35">
      <c r="A90" t="s">
        <v>247</v>
      </c>
      <c r="B90" t="s">
        <v>248</v>
      </c>
      <c r="C90">
        <v>1.43E-2</v>
      </c>
      <c r="D90">
        <v>7.1000000000000004E-3</v>
      </c>
      <c r="E90">
        <v>27447371</v>
      </c>
      <c r="F90">
        <v>10114476</v>
      </c>
      <c r="G90" t="s">
        <v>144</v>
      </c>
      <c r="H90">
        <v>1920000000</v>
      </c>
      <c r="I90" t="str">
        <f t="shared" si="1"/>
        <v>$0-$50</v>
      </c>
    </row>
    <row r="91" spans="1:9" x14ac:dyDescent="0.35">
      <c r="A91" t="s">
        <v>249</v>
      </c>
      <c r="B91" t="s">
        <v>249</v>
      </c>
      <c r="C91">
        <v>9.5999999999999992E-3</v>
      </c>
      <c r="D91">
        <v>1.4E-3</v>
      </c>
      <c r="E91">
        <v>27409112</v>
      </c>
      <c r="F91">
        <v>7348247</v>
      </c>
      <c r="G91" t="s">
        <v>144</v>
      </c>
      <c r="H91">
        <v>2860000000</v>
      </c>
      <c r="I91" t="str">
        <f t="shared" si="1"/>
        <v>$0-$50</v>
      </c>
    </row>
    <row r="92" spans="1:9" x14ac:dyDescent="0.35">
      <c r="A92" t="s">
        <v>250</v>
      </c>
      <c r="B92" t="s">
        <v>251</v>
      </c>
      <c r="C92">
        <v>0.21240000000000001</v>
      </c>
      <c r="D92">
        <v>3.3399999999999999E-2</v>
      </c>
      <c r="E92">
        <v>27426748</v>
      </c>
      <c r="F92">
        <v>20181798</v>
      </c>
      <c r="G92" t="s">
        <v>144</v>
      </c>
      <c r="H92">
        <v>129100000</v>
      </c>
      <c r="I92" t="str">
        <f t="shared" si="1"/>
        <v>$0-$50</v>
      </c>
    </row>
    <row r="93" spans="1:9" x14ac:dyDescent="0.35">
      <c r="A93" t="s">
        <v>252</v>
      </c>
      <c r="B93" t="s">
        <v>252</v>
      </c>
      <c r="C93">
        <v>2.4899999999999999E-2</v>
      </c>
      <c r="D93">
        <v>2.2000000000000001E-3</v>
      </c>
      <c r="E93">
        <v>27414034</v>
      </c>
      <c r="F93">
        <v>717113</v>
      </c>
      <c r="G93" t="s">
        <v>144</v>
      </c>
      <c r="H93">
        <v>1090000000</v>
      </c>
      <c r="I93" t="str">
        <f t="shared" si="1"/>
        <v>$0-$50</v>
      </c>
    </row>
    <row r="94" spans="1:9" x14ac:dyDescent="0.35">
      <c r="A94" t="s">
        <v>253</v>
      </c>
      <c r="B94" t="s">
        <v>254</v>
      </c>
      <c r="C94">
        <v>4.82E-2</v>
      </c>
      <c r="D94">
        <v>2E-3</v>
      </c>
      <c r="E94">
        <v>27358116</v>
      </c>
      <c r="F94">
        <v>5196628</v>
      </c>
      <c r="G94" t="s">
        <v>145</v>
      </c>
      <c r="H94">
        <v>568130000</v>
      </c>
      <c r="I94" t="str">
        <f t="shared" si="1"/>
        <v>$0-$50</v>
      </c>
    </row>
    <row r="95" spans="1:9" x14ac:dyDescent="0.35">
      <c r="A95" t="s">
        <v>255</v>
      </c>
      <c r="B95" t="s">
        <v>256</v>
      </c>
      <c r="C95">
        <v>4.7000000000000002E-3</v>
      </c>
      <c r="D95">
        <v>5.9999999999999995E-4</v>
      </c>
      <c r="E95">
        <v>27336631</v>
      </c>
      <c r="F95">
        <v>1141715</v>
      </c>
      <c r="G95" t="s">
        <v>145</v>
      </c>
      <c r="H95">
        <v>5790000000</v>
      </c>
      <c r="I95" t="str">
        <f t="shared" si="1"/>
        <v>$0-$50</v>
      </c>
    </row>
    <row r="96" spans="1:9" x14ac:dyDescent="0.35">
      <c r="A96" t="s">
        <v>87</v>
      </c>
      <c r="B96" t="s">
        <v>88</v>
      </c>
      <c r="C96">
        <v>61.39</v>
      </c>
      <c r="D96">
        <v>1E-4</v>
      </c>
      <c r="E96">
        <v>27206164</v>
      </c>
      <c r="F96">
        <v>5734871</v>
      </c>
      <c r="G96" t="s">
        <v>145</v>
      </c>
      <c r="H96">
        <v>443100</v>
      </c>
      <c r="I96" t="str">
        <f t="shared" si="1"/>
        <v>Above $50</v>
      </c>
    </row>
    <row r="97" spans="1:9" x14ac:dyDescent="0.35">
      <c r="A97" t="s">
        <v>257</v>
      </c>
      <c r="B97" t="s">
        <v>258</v>
      </c>
      <c r="C97">
        <v>3.2000000000000002E-3</v>
      </c>
      <c r="D97">
        <v>1.0200000000000001E-2</v>
      </c>
      <c r="E97">
        <v>27190071</v>
      </c>
      <c r="F97">
        <v>7967459</v>
      </c>
      <c r="G97" t="s">
        <v>144</v>
      </c>
      <c r="H97">
        <v>8550000000.000001</v>
      </c>
      <c r="I97" t="str">
        <f t="shared" si="1"/>
        <v>$0-$50</v>
      </c>
    </row>
    <row r="98" spans="1:9" x14ac:dyDescent="0.35">
      <c r="A98" t="s">
        <v>259</v>
      </c>
      <c r="B98" t="s">
        <v>259</v>
      </c>
      <c r="C98">
        <v>8.0000000000000004E-4</v>
      </c>
      <c r="D98">
        <v>3.0000000000000001E-3</v>
      </c>
      <c r="E98">
        <v>26972615</v>
      </c>
      <c r="F98">
        <v>8526974</v>
      </c>
      <c r="G98" t="s">
        <v>145</v>
      </c>
      <c r="H98">
        <v>33430000000</v>
      </c>
      <c r="I98" t="str">
        <f t="shared" si="1"/>
        <v>$0-$50</v>
      </c>
    </row>
    <row r="99" spans="1:9" x14ac:dyDescent="0.35">
      <c r="A99" t="s">
        <v>260</v>
      </c>
      <c r="B99" t="s">
        <v>261</v>
      </c>
      <c r="C99">
        <v>4.9599999999999998E-2</v>
      </c>
      <c r="D99">
        <v>1.6000000000000001E-3</v>
      </c>
      <c r="E99">
        <v>26758957</v>
      </c>
      <c r="F99">
        <v>33446308</v>
      </c>
      <c r="G99" t="s">
        <v>145</v>
      </c>
      <c r="H99">
        <v>538940000</v>
      </c>
      <c r="I99" t="str">
        <f t="shared" si="1"/>
        <v>$0-$50</v>
      </c>
    </row>
    <row r="100" spans="1:9" x14ac:dyDescent="0.35">
      <c r="A100" t="s">
        <v>262</v>
      </c>
      <c r="B100" t="s">
        <v>263</v>
      </c>
      <c r="C100">
        <v>4.3E-3</v>
      </c>
      <c r="D100">
        <v>1.6000000000000001E-3</v>
      </c>
      <c r="E100">
        <v>26557553</v>
      </c>
      <c r="F100">
        <v>11262750</v>
      </c>
      <c r="G100" t="s">
        <v>145</v>
      </c>
      <c r="H100">
        <v>6190000000</v>
      </c>
      <c r="I100" t="str">
        <f t="shared" si="1"/>
        <v>$0-$50</v>
      </c>
    </row>
    <row r="101" spans="1:9" x14ac:dyDescent="0.35">
      <c r="A101" t="s">
        <v>86</v>
      </c>
      <c r="B101" t="s">
        <v>86</v>
      </c>
      <c r="C101">
        <v>1E-3</v>
      </c>
      <c r="D101">
        <v>1E-4</v>
      </c>
      <c r="E101">
        <v>26632085</v>
      </c>
      <c r="F101">
        <v>162930</v>
      </c>
      <c r="G101" t="s">
        <v>145</v>
      </c>
      <c r="H101">
        <v>27800000000</v>
      </c>
      <c r="I101" t="str">
        <f t="shared" si="1"/>
        <v>$0-$50</v>
      </c>
    </row>
    <row r="102" spans="1:9" x14ac:dyDescent="0.35">
      <c r="A102" t="s">
        <v>264</v>
      </c>
      <c r="B102" t="s">
        <v>265</v>
      </c>
      <c r="C102">
        <v>5.1999999999999998E-3</v>
      </c>
      <c r="D102">
        <v>5.3E-3</v>
      </c>
      <c r="E102">
        <v>26477518</v>
      </c>
      <c r="F102">
        <v>14910110</v>
      </c>
      <c r="G102" t="s">
        <v>144</v>
      </c>
      <c r="H102">
        <v>5060000000</v>
      </c>
      <c r="I102" t="str">
        <f t="shared" si="1"/>
        <v>$0-$50</v>
      </c>
    </row>
    <row r="103" spans="1:9" x14ac:dyDescent="0.35">
      <c r="A103" t="s">
        <v>266</v>
      </c>
      <c r="B103" t="s">
        <v>267</v>
      </c>
      <c r="C103">
        <v>1E-4</v>
      </c>
      <c r="D103">
        <v>8.3000000000000001E-3</v>
      </c>
      <c r="E103">
        <v>26409629</v>
      </c>
      <c r="F103">
        <v>20499571</v>
      </c>
      <c r="G103" t="s">
        <v>144</v>
      </c>
      <c r="H103">
        <v>420680000000</v>
      </c>
      <c r="I103" t="str">
        <f t="shared" si="1"/>
        <v>$0-$50</v>
      </c>
    </row>
    <row r="104" spans="1:9" x14ac:dyDescent="0.35">
      <c r="A104" t="s">
        <v>268</v>
      </c>
      <c r="B104" t="s">
        <v>269</v>
      </c>
      <c r="C104">
        <v>3.1399999999999997E-2</v>
      </c>
      <c r="D104">
        <v>3.5000000000000001E-3</v>
      </c>
      <c r="E104">
        <v>26372850</v>
      </c>
      <c r="F104">
        <v>29507980</v>
      </c>
      <c r="G104" t="s">
        <v>144</v>
      </c>
      <c r="H104">
        <v>839600000</v>
      </c>
      <c r="I104" t="str">
        <f t="shared" si="1"/>
        <v>$0-$50</v>
      </c>
    </row>
    <row r="105" spans="1:9" x14ac:dyDescent="0.35">
      <c r="A105" t="s">
        <v>270</v>
      </c>
      <c r="B105" t="s">
        <v>271</v>
      </c>
      <c r="C105">
        <v>3.6700000000000003E-2</v>
      </c>
      <c r="D105">
        <v>3.3999999999999998E-3</v>
      </c>
      <c r="E105">
        <v>20326153</v>
      </c>
      <c r="F105">
        <v>10935053</v>
      </c>
      <c r="G105" t="s">
        <v>145</v>
      </c>
      <c r="H105">
        <v>553470000</v>
      </c>
      <c r="I105" t="str">
        <f t="shared" si="1"/>
        <v>$0-$50</v>
      </c>
    </row>
    <row r="106" spans="1:9" x14ac:dyDescent="0.35">
      <c r="A106" t="s">
        <v>272</v>
      </c>
      <c r="B106" t="s">
        <v>273</v>
      </c>
      <c r="C106">
        <v>9.3100000000000002E-2</v>
      </c>
      <c r="D106">
        <v>9.7999999999999997E-3</v>
      </c>
      <c r="E106">
        <v>20417450</v>
      </c>
      <c r="F106">
        <v>5942228</v>
      </c>
      <c r="G106" t="s">
        <v>145</v>
      </c>
      <c r="H106">
        <v>219280000</v>
      </c>
      <c r="I106" t="str">
        <f t="shared" si="1"/>
        <v>$0-$50</v>
      </c>
    </row>
    <row r="107" spans="1:9" x14ac:dyDescent="0.35">
      <c r="A107" t="s">
        <v>274</v>
      </c>
      <c r="B107" t="s">
        <v>275</v>
      </c>
      <c r="C107">
        <v>2.1999999999999999E-2</v>
      </c>
      <c r="D107">
        <v>6.3E-3</v>
      </c>
      <c r="E107">
        <v>20405058</v>
      </c>
      <c r="F107">
        <v>1649753</v>
      </c>
      <c r="G107" t="s">
        <v>144</v>
      </c>
      <c r="H107">
        <v>925570000</v>
      </c>
      <c r="I107" t="str">
        <f t="shared" si="1"/>
        <v>$0-$50</v>
      </c>
    </row>
    <row r="108" spans="1:9" x14ac:dyDescent="0.35">
      <c r="A108" t="s">
        <v>276</v>
      </c>
      <c r="B108" t="s">
        <v>277</v>
      </c>
      <c r="C108">
        <v>8.8000000000000005E-3</v>
      </c>
      <c r="D108">
        <v>8.9999999999999993E-3</v>
      </c>
      <c r="E108">
        <v>20204618</v>
      </c>
      <c r="F108">
        <v>5619700</v>
      </c>
      <c r="G108" t="s">
        <v>144</v>
      </c>
      <c r="H108">
        <v>2300000000</v>
      </c>
      <c r="I108" t="str">
        <f t="shared" si="1"/>
        <v>$0-$50</v>
      </c>
    </row>
    <row r="109" spans="1:9" x14ac:dyDescent="0.35">
      <c r="A109" t="s">
        <v>278</v>
      </c>
      <c r="B109" t="s">
        <v>279</v>
      </c>
      <c r="C109">
        <v>1.12E-2</v>
      </c>
      <c r="D109">
        <v>3.0999999999999999E-3</v>
      </c>
      <c r="E109">
        <v>20143761</v>
      </c>
      <c r="F109">
        <v>190635</v>
      </c>
      <c r="G109" t="s">
        <v>145</v>
      </c>
      <c r="H109">
        <v>1790000000</v>
      </c>
      <c r="I109" t="str">
        <f t="shared" si="1"/>
        <v>$0-$50</v>
      </c>
    </row>
    <row r="110" spans="1:9" x14ac:dyDescent="0.35">
      <c r="A110" t="s">
        <v>280</v>
      </c>
      <c r="B110" t="s">
        <v>280</v>
      </c>
      <c r="C110">
        <v>0</v>
      </c>
      <c r="D110">
        <v>5.7999999999999996E-3</v>
      </c>
      <c r="E110">
        <v>19985403</v>
      </c>
      <c r="F110">
        <v>9122261</v>
      </c>
      <c r="G110" t="s">
        <v>144</v>
      </c>
      <c r="H110">
        <v>516750000000</v>
      </c>
      <c r="I110" t="str">
        <f t="shared" si="1"/>
        <v>$0-$50</v>
      </c>
    </row>
    <row r="111" spans="1:9" x14ac:dyDescent="0.35">
      <c r="A111" t="s">
        <v>281</v>
      </c>
      <c r="B111" t="s">
        <v>282</v>
      </c>
      <c r="C111">
        <v>9.5999999999999992E-3</v>
      </c>
      <c r="D111">
        <v>4.1000000000000003E-3</v>
      </c>
      <c r="E111">
        <v>19987317</v>
      </c>
      <c r="F111">
        <v>2678643</v>
      </c>
      <c r="G111" t="s">
        <v>145</v>
      </c>
      <c r="H111">
        <v>2080000000</v>
      </c>
      <c r="I111" t="str">
        <f t="shared" si="1"/>
        <v>$0-$50</v>
      </c>
    </row>
    <row r="112" spans="1:9" x14ac:dyDescent="0.35">
      <c r="A112" t="s">
        <v>283</v>
      </c>
      <c r="B112" t="s">
        <v>284</v>
      </c>
      <c r="C112">
        <v>0.1246</v>
      </c>
      <c r="D112">
        <v>2.8999999999999998E-3</v>
      </c>
      <c r="E112">
        <v>19938291</v>
      </c>
      <c r="F112">
        <v>1304831</v>
      </c>
      <c r="G112" t="s">
        <v>145</v>
      </c>
      <c r="H112">
        <v>160000000</v>
      </c>
      <c r="I112" t="str">
        <f t="shared" si="1"/>
        <v>$0-$50</v>
      </c>
    </row>
    <row r="113" spans="1:9" x14ac:dyDescent="0.35">
      <c r="A113" t="s">
        <v>89</v>
      </c>
      <c r="B113" t="s">
        <v>90</v>
      </c>
      <c r="C113">
        <v>8.9399999999999993E-2</v>
      </c>
      <c r="D113">
        <v>7.3000000000000001E-3</v>
      </c>
      <c r="E113">
        <v>19724997</v>
      </c>
      <c r="F113">
        <v>6369318</v>
      </c>
      <c r="G113" t="s">
        <v>144</v>
      </c>
      <c r="I113" t="str">
        <f t="shared" si="1"/>
        <v>$0-$50</v>
      </c>
    </row>
    <row r="114" spans="1:9" x14ac:dyDescent="0.35">
      <c r="A114" t="s">
        <v>285</v>
      </c>
      <c r="B114" t="s">
        <v>286</v>
      </c>
      <c r="C114">
        <v>9.5299999999999996E-2</v>
      </c>
      <c r="D114">
        <v>5.3E-3</v>
      </c>
      <c r="E114">
        <v>19671495</v>
      </c>
      <c r="F114">
        <v>3521775</v>
      </c>
      <c r="G114" t="s">
        <v>144</v>
      </c>
      <c r="H114">
        <v>206480000</v>
      </c>
      <c r="I114" t="str">
        <f t="shared" si="1"/>
        <v>$0-$50</v>
      </c>
    </row>
    <row r="115" spans="1:9" x14ac:dyDescent="0.35">
      <c r="A115" t="s">
        <v>287</v>
      </c>
      <c r="B115" t="s">
        <v>288</v>
      </c>
      <c r="C115">
        <v>7.8600000000000003E-2</v>
      </c>
      <c r="D115">
        <v>2.2000000000000001E-3</v>
      </c>
      <c r="E115">
        <v>19644485</v>
      </c>
      <c r="F115">
        <v>17968849</v>
      </c>
      <c r="G115" t="s">
        <v>145</v>
      </c>
      <c r="H115">
        <v>250000000</v>
      </c>
      <c r="I115" t="str">
        <f t="shared" si="1"/>
        <v>$0-$50</v>
      </c>
    </row>
    <row r="116" spans="1:9" x14ac:dyDescent="0.35">
      <c r="A116" t="s">
        <v>289</v>
      </c>
      <c r="B116" t="s">
        <v>290</v>
      </c>
      <c r="C116">
        <v>1.6299999999999999E-2</v>
      </c>
      <c r="D116">
        <v>2.0000000000000001E-4</v>
      </c>
      <c r="E116">
        <v>19608820</v>
      </c>
      <c r="F116">
        <v>587</v>
      </c>
      <c r="G116" t="s">
        <v>144</v>
      </c>
      <c r="H116">
        <v>1200000000</v>
      </c>
      <c r="I116" t="str">
        <f t="shared" si="1"/>
        <v>$0-$50</v>
      </c>
    </row>
    <row r="117" spans="1:9" x14ac:dyDescent="0.35">
      <c r="A117" t="s">
        <v>291</v>
      </c>
      <c r="B117" t="s">
        <v>292</v>
      </c>
      <c r="C117">
        <v>2.9999999999999997E-4</v>
      </c>
      <c r="D117">
        <v>2.0999999999999999E-3</v>
      </c>
      <c r="E117">
        <v>19539309</v>
      </c>
      <c r="F117">
        <v>4105623</v>
      </c>
      <c r="G117" t="s">
        <v>145</v>
      </c>
      <c r="H117">
        <v>62850000000</v>
      </c>
      <c r="I117" t="str">
        <f t="shared" si="1"/>
        <v>$0-$50</v>
      </c>
    </row>
    <row r="118" spans="1:9" x14ac:dyDescent="0.35">
      <c r="A118" t="s">
        <v>293</v>
      </c>
      <c r="B118" t="s">
        <v>294</v>
      </c>
      <c r="C118">
        <v>0.1074</v>
      </c>
      <c r="D118">
        <v>3.0000000000000001E-3</v>
      </c>
      <c r="E118">
        <v>19557870</v>
      </c>
      <c r="F118">
        <v>292241</v>
      </c>
      <c r="G118" t="s">
        <v>144</v>
      </c>
      <c r="H118">
        <v>181980000</v>
      </c>
      <c r="I118" t="str">
        <f t="shared" si="1"/>
        <v>$0-$50</v>
      </c>
    </row>
    <row r="119" spans="1:9" x14ac:dyDescent="0.35">
      <c r="A119" t="s">
        <v>91</v>
      </c>
      <c r="B119" t="s">
        <v>92</v>
      </c>
      <c r="C119">
        <v>2E-3</v>
      </c>
      <c r="D119">
        <v>3.0999999999999999E-3</v>
      </c>
      <c r="E119">
        <v>19503399</v>
      </c>
      <c r="F119">
        <v>298211</v>
      </c>
      <c r="G119" t="s">
        <v>145</v>
      </c>
      <c r="H119">
        <v>10000000000</v>
      </c>
      <c r="I119" t="str">
        <f t="shared" si="1"/>
        <v>$0-$50</v>
      </c>
    </row>
    <row r="120" spans="1:9" x14ac:dyDescent="0.35">
      <c r="A120" t="s">
        <v>295</v>
      </c>
      <c r="B120" t="s">
        <v>295</v>
      </c>
      <c r="C120">
        <v>0.12470000000000001</v>
      </c>
      <c r="D120">
        <v>8.0000000000000004E-4</v>
      </c>
      <c r="E120">
        <v>14925074</v>
      </c>
      <c r="F120">
        <v>6722721</v>
      </c>
      <c r="G120" t="s">
        <v>145</v>
      </c>
      <c r="H120">
        <v>119670000</v>
      </c>
      <c r="I120" t="str">
        <f t="shared" si="1"/>
        <v>$0-$50</v>
      </c>
    </row>
    <row r="121" spans="1:9" x14ac:dyDescent="0.35">
      <c r="A121" t="s">
        <v>296</v>
      </c>
      <c r="B121" t="s">
        <v>297</v>
      </c>
      <c r="C121">
        <v>3.3399999999999999E-2</v>
      </c>
      <c r="D121">
        <v>1.4E-3</v>
      </c>
      <c r="E121">
        <v>14897239</v>
      </c>
      <c r="F121">
        <v>1487247</v>
      </c>
      <c r="G121" t="s">
        <v>145</v>
      </c>
      <c r="H121">
        <v>445330000</v>
      </c>
      <c r="I121" t="str">
        <f t="shared" si="1"/>
        <v>$0-$50</v>
      </c>
    </row>
    <row r="122" spans="1:9" x14ac:dyDescent="0.35">
      <c r="A122" t="s">
        <v>298</v>
      </c>
      <c r="B122" t="s">
        <v>299</v>
      </c>
      <c r="C122">
        <v>1.5299999999999999E-2</v>
      </c>
      <c r="D122">
        <v>1.4E-3</v>
      </c>
      <c r="E122">
        <v>14890542</v>
      </c>
      <c r="F122">
        <v>3496389</v>
      </c>
      <c r="G122" t="s">
        <v>145</v>
      </c>
      <c r="H122">
        <v>974830000</v>
      </c>
      <c r="I122" t="str">
        <f t="shared" si="1"/>
        <v>$0-$50</v>
      </c>
    </row>
    <row r="123" spans="1:9" x14ac:dyDescent="0.35">
      <c r="A123" t="s">
        <v>93</v>
      </c>
      <c r="B123" t="s">
        <v>94</v>
      </c>
      <c r="C123">
        <v>0.38379999999999997</v>
      </c>
      <c r="D123">
        <v>6.9999999999999999E-4</v>
      </c>
      <c r="E123">
        <v>14873557</v>
      </c>
      <c r="F123">
        <v>276017</v>
      </c>
      <c r="G123" t="s">
        <v>145</v>
      </c>
      <c r="H123">
        <v>38740000</v>
      </c>
      <c r="I123" t="str">
        <f t="shared" si="1"/>
        <v>$0-$50</v>
      </c>
    </row>
    <row r="124" spans="1:9" x14ac:dyDescent="0.35">
      <c r="A124" t="s">
        <v>300</v>
      </c>
      <c r="B124" t="s">
        <v>300</v>
      </c>
      <c r="C124">
        <v>1.4999999999999999E-2</v>
      </c>
      <c r="D124">
        <v>2.0000000000000001E-4</v>
      </c>
      <c r="E124">
        <v>14833009</v>
      </c>
      <c r="F124">
        <v>317570</v>
      </c>
      <c r="G124" t="s">
        <v>144</v>
      </c>
      <c r="H124">
        <v>990080000</v>
      </c>
      <c r="I124" t="str">
        <f t="shared" si="1"/>
        <v>$0-$50</v>
      </c>
    </row>
    <row r="125" spans="1:9" x14ac:dyDescent="0.35">
      <c r="A125" t="s">
        <v>301</v>
      </c>
      <c r="B125" t="s">
        <v>301</v>
      </c>
      <c r="C125">
        <v>0.77349999999999997</v>
      </c>
      <c r="D125">
        <v>2.0000000000000001E-4</v>
      </c>
      <c r="E125">
        <v>14799300</v>
      </c>
      <c r="F125">
        <v>584771</v>
      </c>
      <c r="G125" t="s">
        <v>144</v>
      </c>
      <c r="H125">
        <v>19130000</v>
      </c>
      <c r="I125" t="str">
        <f t="shared" si="1"/>
        <v>$0-$50</v>
      </c>
    </row>
    <row r="126" spans="1:9" x14ac:dyDescent="0.35">
      <c r="A126" t="s">
        <v>302</v>
      </c>
      <c r="B126" t="s">
        <v>303</v>
      </c>
      <c r="C126">
        <v>1.22</v>
      </c>
      <c r="D126">
        <v>1.9E-3</v>
      </c>
      <c r="E126">
        <v>14720066</v>
      </c>
      <c r="F126">
        <v>5079060</v>
      </c>
      <c r="G126" t="s">
        <v>145</v>
      </c>
      <c r="H126">
        <v>12050000</v>
      </c>
      <c r="I126" t="str">
        <f t="shared" si="1"/>
        <v>$0-$50</v>
      </c>
    </row>
    <row r="127" spans="1:9" x14ac:dyDescent="0.35">
      <c r="A127" t="s">
        <v>304</v>
      </c>
      <c r="B127" t="s">
        <v>305</v>
      </c>
      <c r="C127">
        <v>6.0999999999999999E-2</v>
      </c>
      <c r="D127">
        <v>1.1000000000000001E-3</v>
      </c>
      <c r="E127">
        <v>14733125</v>
      </c>
      <c r="F127">
        <v>43424</v>
      </c>
      <c r="G127" t="s">
        <v>144</v>
      </c>
      <c r="H127">
        <v>241340000</v>
      </c>
      <c r="I127" t="str">
        <f t="shared" si="1"/>
        <v>$0-$50</v>
      </c>
    </row>
    <row r="128" spans="1:9" x14ac:dyDescent="0.35">
      <c r="A128" t="s">
        <v>306</v>
      </c>
      <c r="B128" t="s">
        <v>307</v>
      </c>
      <c r="C128">
        <v>3.9300000000000002E-2</v>
      </c>
      <c r="D128">
        <v>3.3E-3</v>
      </c>
      <c r="E128">
        <v>14772184</v>
      </c>
      <c r="F128">
        <v>9672793</v>
      </c>
      <c r="G128" t="s">
        <v>144</v>
      </c>
      <c r="H128">
        <v>376130000</v>
      </c>
      <c r="I128" t="str">
        <f t="shared" si="1"/>
        <v>$0-$50</v>
      </c>
    </row>
    <row r="129" spans="1:9" x14ac:dyDescent="0.35">
      <c r="A129" t="s">
        <v>308</v>
      </c>
      <c r="B129" t="s">
        <v>308</v>
      </c>
      <c r="C129">
        <v>0.99929999999999997</v>
      </c>
      <c r="D129">
        <v>4.4000000000000003E-3</v>
      </c>
      <c r="E129">
        <v>14656962</v>
      </c>
      <c r="F129">
        <v>2444956</v>
      </c>
      <c r="G129" t="s">
        <v>144</v>
      </c>
      <c r="H129">
        <v>14660000</v>
      </c>
      <c r="I129" t="str">
        <f t="shared" si="1"/>
        <v>$0-$50</v>
      </c>
    </row>
    <row r="130" spans="1:9" x14ac:dyDescent="0.35">
      <c r="A130" t="s">
        <v>309</v>
      </c>
      <c r="B130" t="s">
        <v>310</v>
      </c>
      <c r="C130">
        <v>3.7600000000000001E-2</v>
      </c>
      <c r="D130">
        <v>9.1999999999999998E-3</v>
      </c>
      <c r="E130">
        <v>14598411</v>
      </c>
      <c r="F130">
        <v>7529695</v>
      </c>
      <c r="G130" t="s">
        <v>145</v>
      </c>
      <c r="H130">
        <v>388750000</v>
      </c>
      <c r="I130" t="str">
        <f t="shared" ref="I130:I193" si="2">IF(C130&lt;=50,"$0-$50","Above $50")</f>
        <v>$0-$50</v>
      </c>
    </row>
    <row r="131" spans="1:9" x14ac:dyDescent="0.35">
      <c r="A131" t="s">
        <v>311</v>
      </c>
      <c r="B131" t="s">
        <v>312</v>
      </c>
      <c r="C131">
        <v>6.2100000000000002E-2</v>
      </c>
      <c r="D131">
        <v>5.4999999999999997E-3</v>
      </c>
      <c r="E131">
        <v>14592444</v>
      </c>
      <c r="F131">
        <v>26677895</v>
      </c>
      <c r="G131" t="s">
        <v>144</v>
      </c>
      <c r="H131">
        <v>235000000</v>
      </c>
      <c r="I131" t="str">
        <f t="shared" si="2"/>
        <v>$0-$50</v>
      </c>
    </row>
    <row r="132" spans="1:9" x14ac:dyDescent="0.35">
      <c r="A132" t="s">
        <v>313</v>
      </c>
      <c r="B132" t="s">
        <v>314</v>
      </c>
      <c r="C132">
        <v>0.1452</v>
      </c>
      <c r="D132">
        <v>4.0000000000000002E-4</v>
      </c>
      <c r="E132">
        <v>14526085</v>
      </c>
      <c r="F132">
        <v>421</v>
      </c>
      <c r="G132" t="s">
        <v>145</v>
      </c>
      <c r="H132">
        <v>100000000</v>
      </c>
      <c r="I132" t="str">
        <f t="shared" si="2"/>
        <v>$0-$50</v>
      </c>
    </row>
    <row r="133" spans="1:9" x14ac:dyDescent="0.35">
      <c r="A133" t="s">
        <v>315</v>
      </c>
      <c r="B133" t="s">
        <v>315</v>
      </c>
      <c r="C133">
        <v>6.6E-3</v>
      </c>
      <c r="D133">
        <v>4.0000000000000002E-4</v>
      </c>
      <c r="E133">
        <v>14515905</v>
      </c>
      <c r="F133">
        <v>22436</v>
      </c>
      <c r="G133" t="s">
        <v>145</v>
      </c>
      <c r="H133">
        <v>2180000000</v>
      </c>
      <c r="I133" t="str">
        <f t="shared" si="2"/>
        <v>$0-$50</v>
      </c>
    </row>
    <row r="134" spans="1:9" x14ac:dyDescent="0.35">
      <c r="A134" t="s">
        <v>316</v>
      </c>
      <c r="B134" t="s">
        <v>317</v>
      </c>
      <c r="C134">
        <v>6.6600000000000006E-2</v>
      </c>
      <c r="D134">
        <v>7.3000000000000001E-3</v>
      </c>
      <c r="E134">
        <v>14454094</v>
      </c>
      <c r="F134">
        <v>4178483</v>
      </c>
      <c r="G134" t="s">
        <v>145</v>
      </c>
      <c r="H134">
        <v>217000000</v>
      </c>
      <c r="I134" t="str">
        <f t="shared" si="2"/>
        <v>$0-$50</v>
      </c>
    </row>
    <row r="135" spans="1:9" x14ac:dyDescent="0.35">
      <c r="A135" t="s">
        <v>318</v>
      </c>
      <c r="B135" t="s">
        <v>319</v>
      </c>
      <c r="C135">
        <v>2.0000000000000001E-4</v>
      </c>
      <c r="D135">
        <v>3.7900000000000003E-2</v>
      </c>
      <c r="E135">
        <v>11503225</v>
      </c>
      <c r="F135">
        <v>20158304</v>
      </c>
      <c r="G135" t="s">
        <v>144</v>
      </c>
      <c r="H135">
        <v>64370000000.000008</v>
      </c>
      <c r="I135" t="str">
        <f t="shared" si="2"/>
        <v>$0-$50</v>
      </c>
    </row>
    <row r="136" spans="1:9" x14ac:dyDescent="0.35">
      <c r="A136" t="s">
        <v>320</v>
      </c>
      <c r="B136" t="s">
        <v>321</v>
      </c>
      <c r="C136">
        <v>8.1000000000000003E-2</v>
      </c>
      <c r="D136">
        <v>1.2999999999999999E-3</v>
      </c>
      <c r="E136">
        <v>11411815</v>
      </c>
      <c r="F136">
        <v>2338940</v>
      </c>
      <c r="G136" t="s">
        <v>145</v>
      </c>
      <c r="H136">
        <v>140840000</v>
      </c>
      <c r="I136" t="str">
        <f t="shared" si="2"/>
        <v>$0-$50</v>
      </c>
    </row>
    <row r="137" spans="1:9" x14ac:dyDescent="0.35">
      <c r="A137" t="s">
        <v>322</v>
      </c>
      <c r="B137" t="s">
        <v>323</v>
      </c>
      <c r="C137">
        <v>1.2500000000000001E-2</v>
      </c>
      <c r="D137">
        <v>7.0000000000000001E-3</v>
      </c>
      <c r="E137">
        <v>11409466</v>
      </c>
      <c r="F137">
        <v>4656295</v>
      </c>
      <c r="G137" t="s">
        <v>145</v>
      </c>
      <c r="H137">
        <v>915200000</v>
      </c>
      <c r="I137" t="str">
        <f t="shared" si="2"/>
        <v>$0-$50</v>
      </c>
    </row>
    <row r="138" spans="1:9" x14ac:dyDescent="0.35">
      <c r="A138" t="s">
        <v>324</v>
      </c>
      <c r="B138" t="s">
        <v>325</v>
      </c>
      <c r="C138">
        <v>4.4400000000000002E-2</v>
      </c>
      <c r="D138">
        <v>4.7000000000000002E-3</v>
      </c>
      <c r="E138">
        <v>11358145</v>
      </c>
      <c r="F138">
        <v>7546892</v>
      </c>
      <c r="G138" t="s">
        <v>145</v>
      </c>
      <c r="H138">
        <v>255640000</v>
      </c>
      <c r="I138" t="str">
        <f t="shared" si="2"/>
        <v>$0-$50</v>
      </c>
    </row>
    <row r="139" spans="1:9" x14ac:dyDescent="0.35">
      <c r="A139" t="s">
        <v>326</v>
      </c>
      <c r="B139" t="s">
        <v>327</v>
      </c>
      <c r="C139">
        <v>112.74</v>
      </c>
      <c r="D139">
        <v>8.0000000000000004E-4</v>
      </c>
      <c r="E139">
        <v>11296373</v>
      </c>
      <c r="F139">
        <v>523823</v>
      </c>
      <c r="G139" t="s">
        <v>144</v>
      </c>
      <c r="H139">
        <v>100190</v>
      </c>
      <c r="I139" t="str">
        <f t="shared" si="2"/>
        <v>Above $50</v>
      </c>
    </row>
    <row r="140" spans="1:9" x14ac:dyDescent="0.35">
      <c r="A140" t="s">
        <v>328</v>
      </c>
      <c r="B140" t="s">
        <v>329</v>
      </c>
      <c r="C140">
        <v>1.7000000000000001E-2</v>
      </c>
      <c r="D140">
        <v>2.3E-3</v>
      </c>
      <c r="E140">
        <v>11289173</v>
      </c>
      <c r="F140">
        <v>1811450</v>
      </c>
      <c r="G140" t="s">
        <v>144</v>
      </c>
      <c r="H140">
        <v>664010000</v>
      </c>
      <c r="I140" t="str">
        <f t="shared" si="2"/>
        <v>$0-$50</v>
      </c>
    </row>
    <row r="141" spans="1:9" x14ac:dyDescent="0.35">
      <c r="A141" t="s">
        <v>330</v>
      </c>
      <c r="B141" t="s">
        <v>331</v>
      </c>
      <c r="C141">
        <v>2.3E-3</v>
      </c>
      <c r="D141">
        <v>0</v>
      </c>
      <c r="E141">
        <v>11211988</v>
      </c>
      <c r="F141">
        <v>125431</v>
      </c>
      <c r="G141" t="s">
        <v>145</v>
      </c>
      <c r="H141">
        <v>4830000000</v>
      </c>
      <c r="I141" t="str">
        <f t="shared" si="2"/>
        <v>$0-$50</v>
      </c>
    </row>
    <row r="142" spans="1:9" x14ac:dyDescent="0.35">
      <c r="A142" t="s">
        <v>332</v>
      </c>
      <c r="B142" t="s">
        <v>333</v>
      </c>
      <c r="C142">
        <v>2.4199999999999999E-2</v>
      </c>
      <c r="D142">
        <v>1.03E-2</v>
      </c>
      <c r="E142">
        <v>11175592</v>
      </c>
      <c r="F142">
        <v>5818093</v>
      </c>
      <c r="G142" t="s">
        <v>144</v>
      </c>
      <c r="H142">
        <v>462370000</v>
      </c>
      <c r="I142" t="str">
        <f t="shared" si="2"/>
        <v>$0-$50</v>
      </c>
    </row>
    <row r="143" spans="1:9" x14ac:dyDescent="0.35">
      <c r="A143" t="s">
        <v>334</v>
      </c>
      <c r="B143" t="s">
        <v>335</v>
      </c>
      <c r="C143">
        <v>1.1000000000000001E-3</v>
      </c>
      <c r="D143">
        <v>0</v>
      </c>
      <c r="E143">
        <v>11146264</v>
      </c>
      <c r="F143">
        <v>401488</v>
      </c>
      <c r="G143" t="s">
        <v>144</v>
      </c>
      <c r="H143">
        <v>9800000000</v>
      </c>
      <c r="I143" t="str">
        <f t="shared" si="2"/>
        <v>$0-$50</v>
      </c>
    </row>
    <row r="144" spans="1:9" x14ac:dyDescent="0.35">
      <c r="A144" t="s">
        <v>336</v>
      </c>
      <c r="B144" t="s">
        <v>337</v>
      </c>
      <c r="C144">
        <v>5.6000000000000001E-2</v>
      </c>
      <c r="D144">
        <v>1.5599999999999999E-2</v>
      </c>
      <c r="E144">
        <v>11139126</v>
      </c>
      <c r="F144">
        <v>5611958</v>
      </c>
      <c r="G144" t="s">
        <v>145</v>
      </c>
      <c r="H144">
        <v>198950000</v>
      </c>
      <c r="I144" t="str">
        <f t="shared" si="2"/>
        <v>$0-$50</v>
      </c>
    </row>
    <row r="145" spans="1:9" x14ac:dyDescent="0.35">
      <c r="A145" t="s">
        <v>338</v>
      </c>
      <c r="B145" t="s">
        <v>339</v>
      </c>
      <c r="C145">
        <v>5.5800000000000002E-2</v>
      </c>
      <c r="D145">
        <v>1.12E-2</v>
      </c>
      <c r="E145">
        <v>11158832</v>
      </c>
      <c r="F145">
        <v>24535332</v>
      </c>
      <c r="G145" t="s">
        <v>145</v>
      </c>
      <c r="H145">
        <v>200000000</v>
      </c>
      <c r="I145" t="str">
        <f t="shared" si="2"/>
        <v>$0-$50</v>
      </c>
    </row>
    <row r="146" spans="1:9" x14ac:dyDescent="0.35">
      <c r="A146" t="s">
        <v>340</v>
      </c>
      <c r="B146" t="s">
        <v>341</v>
      </c>
      <c r="C146">
        <v>6.6199999999999995E-2</v>
      </c>
      <c r="D146">
        <v>3.8E-3</v>
      </c>
      <c r="E146">
        <v>11117508</v>
      </c>
      <c r="F146">
        <v>466868</v>
      </c>
      <c r="G146" t="s">
        <v>145</v>
      </c>
      <c r="H146">
        <v>167840000</v>
      </c>
      <c r="I146" t="str">
        <f t="shared" si="2"/>
        <v>$0-$50</v>
      </c>
    </row>
    <row r="147" spans="1:9" x14ac:dyDescent="0.35">
      <c r="A147" t="s">
        <v>95</v>
      </c>
      <c r="B147" t="s">
        <v>96</v>
      </c>
      <c r="C147">
        <v>1.15E-2</v>
      </c>
      <c r="D147">
        <v>8.6E-3</v>
      </c>
      <c r="E147">
        <v>11112982</v>
      </c>
      <c r="F147">
        <v>1047391</v>
      </c>
      <c r="G147" t="s">
        <v>145</v>
      </c>
      <c r="H147">
        <v>963280000</v>
      </c>
      <c r="I147" t="str">
        <f t="shared" si="2"/>
        <v>$0-$50</v>
      </c>
    </row>
    <row r="148" spans="1:9" x14ac:dyDescent="0.35">
      <c r="A148" t="s">
        <v>342</v>
      </c>
      <c r="B148" t="s">
        <v>343</v>
      </c>
      <c r="C148">
        <v>5.1499999999999997E-2</v>
      </c>
      <c r="D148">
        <v>8.8000000000000005E-3</v>
      </c>
      <c r="E148">
        <v>11103572</v>
      </c>
      <c r="F148">
        <v>3083581</v>
      </c>
      <c r="G148" t="s">
        <v>144</v>
      </c>
      <c r="H148">
        <v>7560000000000</v>
      </c>
      <c r="I148" t="str">
        <f t="shared" si="2"/>
        <v>$0-$50</v>
      </c>
    </row>
    <row r="149" spans="1:9" x14ac:dyDescent="0.35">
      <c r="A149" t="s">
        <v>344</v>
      </c>
      <c r="B149" t="s">
        <v>345</v>
      </c>
      <c r="C149">
        <v>7.1000000000000004E-3</v>
      </c>
      <c r="D149">
        <v>1.9E-2</v>
      </c>
      <c r="E149">
        <v>8793079</v>
      </c>
      <c r="F149">
        <v>5621560</v>
      </c>
      <c r="G149" t="s">
        <v>144</v>
      </c>
      <c r="H149">
        <v>1230000000</v>
      </c>
      <c r="I149" t="str">
        <f t="shared" si="2"/>
        <v>$0-$50</v>
      </c>
    </row>
    <row r="150" spans="1:9" x14ac:dyDescent="0.35">
      <c r="A150" t="s">
        <v>346</v>
      </c>
      <c r="B150" t="s">
        <v>347</v>
      </c>
      <c r="C150">
        <v>0.19439999999999999</v>
      </c>
      <c r="D150">
        <v>1.0699999999999999E-2</v>
      </c>
      <c r="E150">
        <v>8794426</v>
      </c>
      <c r="F150">
        <v>4788243</v>
      </c>
      <c r="G150" t="s">
        <v>144</v>
      </c>
      <c r="H150">
        <v>45230000</v>
      </c>
      <c r="I150" t="str">
        <f t="shared" si="2"/>
        <v>$0-$50</v>
      </c>
    </row>
    <row r="151" spans="1:9" x14ac:dyDescent="0.35">
      <c r="A151" t="s">
        <v>348</v>
      </c>
      <c r="B151" t="s">
        <v>349</v>
      </c>
      <c r="C151">
        <v>8.5999999999999993E-2</v>
      </c>
      <c r="D151">
        <v>8.3000000000000001E-3</v>
      </c>
      <c r="E151">
        <v>8751283</v>
      </c>
      <c r="F151">
        <v>62576912</v>
      </c>
      <c r="G151" t="s">
        <v>145</v>
      </c>
      <c r="H151">
        <v>101730000</v>
      </c>
      <c r="I151" t="str">
        <f t="shared" si="2"/>
        <v>$0-$50</v>
      </c>
    </row>
    <row r="152" spans="1:9" x14ac:dyDescent="0.35">
      <c r="A152" t="s">
        <v>350</v>
      </c>
      <c r="B152" t="s">
        <v>351</v>
      </c>
      <c r="C152">
        <v>2.06E-2</v>
      </c>
      <c r="D152">
        <v>1.7299999999999999E-2</v>
      </c>
      <c r="E152">
        <v>8740988</v>
      </c>
      <c r="F152">
        <v>7948331</v>
      </c>
      <c r="G152" t="s">
        <v>145</v>
      </c>
      <c r="H152">
        <v>425000000</v>
      </c>
      <c r="I152" t="str">
        <f t="shared" si="2"/>
        <v>$0-$50</v>
      </c>
    </row>
    <row r="153" spans="1:9" x14ac:dyDescent="0.35">
      <c r="A153" t="s">
        <v>352</v>
      </c>
      <c r="B153" t="s">
        <v>353</v>
      </c>
      <c r="C153">
        <v>4.8800000000000003E-2</v>
      </c>
      <c r="D153">
        <v>1.12E-2</v>
      </c>
      <c r="E153">
        <v>8770259</v>
      </c>
      <c r="F153">
        <v>2389955</v>
      </c>
      <c r="G153" t="s">
        <v>145</v>
      </c>
      <c r="H153">
        <v>179640000</v>
      </c>
      <c r="I153" t="str">
        <f t="shared" si="2"/>
        <v>$0-$50</v>
      </c>
    </row>
    <row r="154" spans="1:9" x14ac:dyDescent="0.35">
      <c r="A154" t="s">
        <v>354</v>
      </c>
      <c r="B154" t="s">
        <v>355</v>
      </c>
      <c r="C154">
        <v>1.6899999999999998E-2</v>
      </c>
      <c r="D154">
        <v>2.0799999999999999E-2</v>
      </c>
      <c r="E154">
        <v>8734559</v>
      </c>
      <c r="F154">
        <v>5690255</v>
      </c>
      <c r="G154" t="s">
        <v>144</v>
      </c>
      <c r="H154">
        <v>517210000.00000006</v>
      </c>
      <c r="I154" t="str">
        <f t="shared" si="2"/>
        <v>$0-$50</v>
      </c>
    </row>
    <row r="155" spans="1:9" x14ac:dyDescent="0.35">
      <c r="A155" t="s">
        <v>356</v>
      </c>
      <c r="B155" t="s">
        <v>357</v>
      </c>
      <c r="C155">
        <v>6.5799999999999997E-2</v>
      </c>
      <c r="D155">
        <v>6.7000000000000002E-3</v>
      </c>
      <c r="E155">
        <v>8726562</v>
      </c>
      <c r="F155">
        <v>5788007</v>
      </c>
      <c r="G155" t="s">
        <v>145</v>
      </c>
      <c r="H155">
        <v>132610000.00000001</v>
      </c>
      <c r="I155" t="str">
        <f t="shared" si="2"/>
        <v>$0-$50</v>
      </c>
    </row>
    <row r="156" spans="1:9" x14ac:dyDescent="0.35">
      <c r="A156" t="s">
        <v>358</v>
      </c>
      <c r="B156" t="s">
        <v>359</v>
      </c>
      <c r="C156">
        <v>0.1002</v>
      </c>
      <c r="D156">
        <v>9.9000000000000008E-3</v>
      </c>
      <c r="E156">
        <v>8846993</v>
      </c>
      <c r="F156">
        <v>39800165</v>
      </c>
      <c r="G156" t="s">
        <v>145</v>
      </c>
      <c r="H156">
        <v>88240000</v>
      </c>
      <c r="I156" t="str">
        <f t="shared" si="2"/>
        <v>$0-$50</v>
      </c>
    </row>
    <row r="157" spans="1:9" x14ac:dyDescent="0.35">
      <c r="A157" t="s">
        <v>360</v>
      </c>
      <c r="B157" t="s">
        <v>361</v>
      </c>
      <c r="C157">
        <v>899.55</v>
      </c>
      <c r="D157">
        <v>6.3E-3</v>
      </c>
      <c r="E157">
        <v>8595164</v>
      </c>
      <c r="F157">
        <v>307802</v>
      </c>
      <c r="G157" t="s">
        <v>145</v>
      </c>
      <c r="H157">
        <v>9550</v>
      </c>
      <c r="I157" t="str">
        <f t="shared" si="2"/>
        <v>Above $50</v>
      </c>
    </row>
    <row r="158" spans="1:9" x14ac:dyDescent="0.35">
      <c r="A158" t="s">
        <v>362</v>
      </c>
      <c r="B158" t="s">
        <v>363</v>
      </c>
      <c r="C158">
        <v>5.34</v>
      </c>
      <c r="D158">
        <v>1E-4</v>
      </c>
      <c r="E158">
        <v>8547463</v>
      </c>
      <c r="F158">
        <v>713174</v>
      </c>
      <c r="G158" t="s">
        <v>144</v>
      </c>
      <c r="H158">
        <v>1600000</v>
      </c>
      <c r="I158" t="str">
        <f t="shared" si="2"/>
        <v>$0-$50</v>
      </c>
    </row>
    <row r="159" spans="1:9" x14ac:dyDescent="0.35">
      <c r="A159" t="s">
        <v>364</v>
      </c>
      <c r="B159" t="s">
        <v>365</v>
      </c>
      <c r="C159">
        <v>0.11070000000000001</v>
      </c>
      <c r="D159">
        <v>1.6500000000000001E-2</v>
      </c>
      <c r="E159">
        <v>8524268</v>
      </c>
      <c r="F159">
        <v>29287</v>
      </c>
      <c r="G159" t="s">
        <v>144</v>
      </c>
      <c r="H159">
        <v>76990000</v>
      </c>
      <c r="I159" t="str">
        <f t="shared" si="2"/>
        <v>$0-$50</v>
      </c>
    </row>
    <row r="160" spans="1:9" x14ac:dyDescent="0.35">
      <c r="A160" t="s">
        <v>366</v>
      </c>
      <c r="B160" t="s">
        <v>367</v>
      </c>
      <c r="C160">
        <v>0.43880000000000002</v>
      </c>
      <c r="D160">
        <v>2.8999999999999998E-3</v>
      </c>
      <c r="E160">
        <v>8474846</v>
      </c>
      <c r="F160">
        <v>125236</v>
      </c>
      <c r="G160" t="s">
        <v>145</v>
      </c>
      <c r="H160">
        <v>19310000</v>
      </c>
      <c r="I160" t="str">
        <f t="shared" si="2"/>
        <v>$0-$50</v>
      </c>
    </row>
    <row r="161" spans="1:9" x14ac:dyDescent="0.35">
      <c r="A161" t="s">
        <v>97</v>
      </c>
      <c r="B161" t="s">
        <v>98</v>
      </c>
      <c r="C161">
        <v>3.36</v>
      </c>
      <c r="D161">
        <v>6.1999999999999998E-3</v>
      </c>
      <c r="E161">
        <v>8490917</v>
      </c>
      <c r="F161">
        <v>1312642</v>
      </c>
      <c r="G161" t="s">
        <v>144</v>
      </c>
      <c r="H161">
        <v>2520000</v>
      </c>
      <c r="I161" t="str">
        <f t="shared" si="2"/>
        <v>$0-$50</v>
      </c>
    </row>
    <row r="162" spans="1:9" x14ac:dyDescent="0.35">
      <c r="A162" t="s">
        <v>368</v>
      </c>
      <c r="B162" t="s">
        <v>369</v>
      </c>
      <c r="C162">
        <v>0.01</v>
      </c>
      <c r="D162">
        <v>1.0800000000000001E-2</v>
      </c>
      <c r="E162">
        <v>8350740</v>
      </c>
      <c r="F162">
        <v>13913684</v>
      </c>
      <c r="G162" t="s">
        <v>145</v>
      </c>
      <c r="H162">
        <v>835270000</v>
      </c>
      <c r="I162" t="str">
        <f t="shared" si="2"/>
        <v>$0-$50</v>
      </c>
    </row>
    <row r="163" spans="1:9" x14ac:dyDescent="0.35">
      <c r="A163" t="s">
        <v>370</v>
      </c>
      <c r="B163" t="s">
        <v>370</v>
      </c>
      <c r="C163">
        <v>8.3999999999999995E-3</v>
      </c>
      <c r="D163">
        <v>8.6999999999999994E-3</v>
      </c>
      <c r="E163">
        <v>8363116</v>
      </c>
      <c r="F163">
        <v>7297130</v>
      </c>
      <c r="G163" t="s">
        <v>144</v>
      </c>
      <c r="H163">
        <v>1000000000</v>
      </c>
      <c r="I163" t="str">
        <f t="shared" si="2"/>
        <v>$0-$50</v>
      </c>
    </row>
    <row r="164" spans="1:9" x14ac:dyDescent="0.35">
      <c r="A164" t="s">
        <v>103</v>
      </c>
      <c r="B164" t="s">
        <v>104</v>
      </c>
      <c r="C164">
        <v>6.9999999999999999E-4</v>
      </c>
      <c r="D164">
        <v>6.1999999999999998E-3</v>
      </c>
      <c r="E164">
        <v>6448383</v>
      </c>
      <c r="F164">
        <v>485717</v>
      </c>
      <c r="G164" t="s">
        <v>144</v>
      </c>
      <c r="H164">
        <v>9320000000</v>
      </c>
      <c r="I164" t="str">
        <f t="shared" si="2"/>
        <v>$0-$50</v>
      </c>
    </row>
    <row r="165" spans="1:9" x14ac:dyDescent="0.35">
      <c r="A165" t="s">
        <v>371</v>
      </c>
      <c r="B165" t="s">
        <v>372</v>
      </c>
      <c r="C165">
        <v>7.3300000000000004E-2</v>
      </c>
      <c r="D165">
        <v>3.0999999999999999E-3</v>
      </c>
      <c r="E165">
        <v>6415469</v>
      </c>
      <c r="F165">
        <v>5112067</v>
      </c>
      <c r="G165" t="s">
        <v>145</v>
      </c>
      <c r="H165">
        <v>87490000</v>
      </c>
      <c r="I165" t="str">
        <f t="shared" si="2"/>
        <v>$0-$50</v>
      </c>
    </row>
    <row r="166" spans="1:9" x14ac:dyDescent="0.35">
      <c r="A166" t="s">
        <v>101</v>
      </c>
      <c r="B166" t="s">
        <v>102</v>
      </c>
      <c r="C166">
        <v>2.9999999999999997E-4</v>
      </c>
      <c r="D166">
        <v>0</v>
      </c>
      <c r="E166">
        <v>6404757</v>
      </c>
      <c r="F166">
        <v>29171</v>
      </c>
      <c r="G166" t="s">
        <v>145</v>
      </c>
      <c r="H166">
        <v>21200000000</v>
      </c>
      <c r="I166" t="str">
        <f t="shared" si="2"/>
        <v>$0-$50</v>
      </c>
    </row>
    <row r="167" spans="1:9" x14ac:dyDescent="0.35">
      <c r="A167" t="s">
        <v>373</v>
      </c>
      <c r="B167" t="s">
        <v>374</v>
      </c>
      <c r="C167">
        <v>57.43</v>
      </c>
      <c r="D167">
        <v>1.6000000000000001E-3</v>
      </c>
      <c r="E167">
        <v>6399426</v>
      </c>
      <c r="F167">
        <v>1168478</v>
      </c>
      <c r="G167" t="s">
        <v>145</v>
      </c>
      <c r="H167">
        <v>111410</v>
      </c>
      <c r="I167" t="str">
        <f t="shared" si="2"/>
        <v>Above $50</v>
      </c>
    </row>
    <row r="168" spans="1:9" x14ac:dyDescent="0.35">
      <c r="A168" t="s">
        <v>375</v>
      </c>
      <c r="B168" t="s">
        <v>375</v>
      </c>
      <c r="C168">
        <v>3.0999999999999999E-3</v>
      </c>
      <c r="D168">
        <v>1.5900000000000001E-2</v>
      </c>
      <c r="E168">
        <v>6417718</v>
      </c>
      <c r="F168">
        <v>3626628</v>
      </c>
      <c r="G168" t="s">
        <v>144</v>
      </c>
      <c r="H168">
        <v>2049999999.9999998</v>
      </c>
      <c r="I168" t="str">
        <f t="shared" si="2"/>
        <v>$0-$50</v>
      </c>
    </row>
    <row r="169" spans="1:9" x14ac:dyDescent="0.35">
      <c r="A169" t="s">
        <v>376</v>
      </c>
      <c r="B169" t="s">
        <v>377</v>
      </c>
      <c r="C169">
        <v>8.0000000000000004E-4</v>
      </c>
      <c r="D169">
        <v>2.0000000000000001E-4</v>
      </c>
      <c r="E169">
        <v>6388227</v>
      </c>
      <c r="F169">
        <v>215386</v>
      </c>
      <c r="G169" t="s">
        <v>145</v>
      </c>
      <c r="H169">
        <v>7820000000</v>
      </c>
      <c r="I169" t="str">
        <f t="shared" si="2"/>
        <v>$0-$50</v>
      </c>
    </row>
    <row r="170" spans="1:9" x14ac:dyDescent="0.35">
      <c r="A170" t="s">
        <v>378</v>
      </c>
      <c r="B170" t="s">
        <v>379</v>
      </c>
      <c r="C170">
        <v>0.13980000000000001</v>
      </c>
      <c r="D170">
        <v>5.0000000000000001E-4</v>
      </c>
      <c r="E170">
        <v>6386513</v>
      </c>
      <c r="F170">
        <v>824</v>
      </c>
      <c r="G170" t="s">
        <v>145</v>
      </c>
      <c r="H170">
        <v>45660000</v>
      </c>
      <c r="I170" t="str">
        <f t="shared" si="2"/>
        <v>$0-$50</v>
      </c>
    </row>
    <row r="171" spans="1:9" x14ac:dyDescent="0.35">
      <c r="A171" t="s">
        <v>380</v>
      </c>
      <c r="B171" t="s">
        <v>381</v>
      </c>
      <c r="C171">
        <v>2.7400000000000001E-2</v>
      </c>
      <c r="D171">
        <v>2.3999999999999998E-3</v>
      </c>
      <c r="E171">
        <v>6375652</v>
      </c>
      <c r="F171">
        <v>6397</v>
      </c>
      <c r="G171" t="s">
        <v>144</v>
      </c>
      <c r="H171">
        <v>232490000</v>
      </c>
      <c r="I171" t="str">
        <f t="shared" si="2"/>
        <v>$0-$50</v>
      </c>
    </row>
    <row r="172" spans="1:9" x14ac:dyDescent="0.35">
      <c r="A172" t="s">
        <v>382</v>
      </c>
      <c r="B172" t="s">
        <v>383</v>
      </c>
      <c r="C172">
        <v>7.85E-2</v>
      </c>
      <c r="D172">
        <v>5.0000000000000001E-4</v>
      </c>
      <c r="E172">
        <v>6329637</v>
      </c>
      <c r="F172">
        <v>118991</v>
      </c>
      <c r="G172" t="s">
        <v>144</v>
      </c>
      <c r="H172">
        <v>80650000</v>
      </c>
      <c r="I172" t="str">
        <f t="shared" si="2"/>
        <v>$0-$50</v>
      </c>
    </row>
    <row r="173" spans="1:9" x14ac:dyDescent="0.35">
      <c r="A173" t="s">
        <v>384</v>
      </c>
      <c r="B173" t="s">
        <v>385</v>
      </c>
      <c r="C173">
        <v>0</v>
      </c>
      <c r="D173">
        <v>4.0000000000000001E-3</v>
      </c>
      <c r="E173">
        <v>6318371</v>
      </c>
      <c r="F173">
        <v>224602</v>
      </c>
      <c r="G173" t="s">
        <v>144</v>
      </c>
      <c r="H173">
        <v>337880000000</v>
      </c>
      <c r="I173" t="str">
        <f t="shared" si="2"/>
        <v>$0-$50</v>
      </c>
    </row>
    <row r="174" spans="1:9" x14ac:dyDescent="0.35">
      <c r="A174" t="s">
        <v>386</v>
      </c>
      <c r="B174" t="s">
        <v>387</v>
      </c>
      <c r="C174">
        <v>1.9E-2</v>
      </c>
      <c r="D174">
        <v>4.3700000000000003E-2</v>
      </c>
      <c r="E174">
        <v>6337889</v>
      </c>
      <c r="F174">
        <v>2664811</v>
      </c>
      <c r="G174" t="s">
        <v>145</v>
      </c>
      <c r="H174">
        <v>333280000</v>
      </c>
      <c r="I174" t="str">
        <f t="shared" si="2"/>
        <v>$0-$50</v>
      </c>
    </row>
    <row r="175" spans="1:9" x14ac:dyDescent="0.35">
      <c r="A175" t="s">
        <v>388</v>
      </c>
      <c r="B175" t="s">
        <v>389</v>
      </c>
      <c r="C175">
        <v>1.6400000000000001E-2</v>
      </c>
      <c r="D175">
        <v>7.7999999999999996E-3</v>
      </c>
      <c r="E175">
        <v>6309198</v>
      </c>
      <c r="F175">
        <v>8594550</v>
      </c>
      <c r="G175" t="s">
        <v>144</v>
      </c>
      <c r="H175">
        <v>385180000</v>
      </c>
      <c r="I175" t="str">
        <f t="shared" si="2"/>
        <v>$0-$50</v>
      </c>
    </row>
    <row r="176" spans="1:9" x14ac:dyDescent="0.35">
      <c r="A176" t="s">
        <v>390</v>
      </c>
      <c r="B176" t="s">
        <v>391</v>
      </c>
      <c r="C176">
        <v>3.8999999999999998E-3</v>
      </c>
      <c r="D176">
        <v>1.4E-3</v>
      </c>
      <c r="E176">
        <v>6311340</v>
      </c>
      <c r="F176">
        <v>228048</v>
      </c>
      <c r="G176" t="s">
        <v>145</v>
      </c>
      <c r="H176">
        <v>1610000000</v>
      </c>
      <c r="I176" t="str">
        <f t="shared" si="2"/>
        <v>$0-$50</v>
      </c>
    </row>
    <row r="177" spans="1:9" x14ac:dyDescent="0.35">
      <c r="A177" t="s">
        <v>392</v>
      </c>
      <c r="B177" t="s">
        <v>393</v>
      </c>
      <c r="C177">
        <v>2.5499999999999998E-2</v>
      </c>
      <c r="D177">
        <v>1.4800000000000001E-2</v>
      </c>
      <c r="E177">
        <v>6306281</v>
      </c>
      <c r="F177">
        <v>1184339</v>
      </c>
      <c r="G177" t="s">
        <v>144</v>
      </c>
      <c r="H177">
        <v>246960000</v>
      </c>
      <c r="I177" t="str">
        <f t="shared" si="2"/>
        <v>$0-$50</v>
      </c>
    </row>
    <row r="178" spans="1:9" x14ac:dyDescent="0.35">
      <c r="A178" t="s">
        <v>394</v>
      </c>
      <c r="B178" t="s">
        <v>395</v>
      </c>
      <c r="C178">
        <v>715.16</v>
      </c>
      <c r="D178">
        <v>1E-3</v>
      </c>
      <c r="E178">
        <v>6252612</v>
      </c>
      <c r="F178">
        <v>429359</v>
      </c>
      <c r="G178" t="s">
        <v>144</v>
      </c>
      <c r="H178">
        <v>8740</v>
      </c>
      <c r="I178" t="str">
        <f t="shared" si="2"/>
        <v>Above $50</v>
      </c>
    </row>
    <row r="179" spans="1:9" x14ac:dyDescent="0.35">
      <c r="A179" t="s">
        <v>396</v>
      </c>
      <c r="B179" t="s">
        <v>397</v>
      </c>
      <c r="C179">
        <v>0.32790000000000002</v>
      </c>
      <c r="D179">
        <v>2.0999999999999999E-3</v>
      </c>
      <c r="E179">
        <v>5103175</v>
      </c>
      <c r="F179">
        <v>8590627</v>
      </c>
      <c r="G179" t="s">
        <v>144</v>
      </c>
      <c r="H179">
        <v>15560000</v>
      </c>
      <c r="I179" t="str">
        <f t="shared" si="2"/>
        <v>$0-$50</v>
      </c>
    </row>
    <row r="180" spans="1:9" x14ac:dyDescent="0.35">
      <c r="A180" t="s">
        <v>398</v>
      </c>
      <c r="B180" t="s">
        <v>399</v>
      </c>
      <c r="C180">
        <v>0.37830000000000003</v>
      </c>
      <c r="D180">
        <v>2.0199999999999999E-2</v>
      </c>
      <c r="E180">
        <v>5101302</v>
      </c>
      <c r="F180">
        <v>6658670</v>
      </c>
      <c r="G180" t="s">
        <v>144</v>
      </c>
      <c r="H180">
        <v>13480000</v>
      </c>
      <c r="I180" t="str">
        <f t="shared" si="2"/>
        <v>$0-$50</v>
      </c>
    </row>
    <row r="181" spans="1:9" x14ac:dyDescent="0.35">
      <c r="A181" t="s">
        <v>400</v>
      </c>
      <c r="B181" t="s">
        <v>401</v>
      </c>
      <c r="C181">
        <v>5.4000000000000003E-3</v>
      </c>
      <c r="D181">
        <v>8.0999999999999996E-3</v>
      </c>
      <c r="E181">
        <v>5072302</v>
      </c>
      <c r="F181">
        <v>490438</v>
      </c>
      <c r="G181" t="s">
        <v>145</v>
      </c>
      <c r="H181">
        <v>936060000</v>
      </c>
      <c r="I181" t="str">
        <f t="shared" si="2"/>
        <v>$0-$50</v>
      </c>
    </row>
    <row r="182" spans="1:9" x14ac:dyDescent="0.35">
      <c r="A182" t="s">
        <v>402</v>
      </c>
      <c r="B182" t="s">
        <v>403</v>
      </c>
      <c r="C182">
        <v>1.9E-2</v>
      </c>
      <c r="D182">
        <v>2.9999999999999997E-4</v>
      </c>
      <c r="E182">
        <v>5063868</v>
      </c>
      <c r="F182">
        <v>164930</v>
      </c>
      <c r="G182" t="s">
        <v>144</v>
      </c>
      <c r="H182">
        <v>267140000</v>
      </c>
      <c r="I182" t="str">
        <f t="shared" si="2"/>
        <v>$0-$50</v>
      </c>
    </row>
    <row r="183" spans="1:9" x14ac:dyDescent="0.35">
      <c r="A183" t="s">
        <v>404</v>
      </c>
      <c r="B183" t="s">
        <v>404</v>
      </c>
      <c r="C183">
        <v>8.8999999999999999E-3</v>
      </c>
      <c r="D183">
        <v>8.3999999999999995E-3</v>
      </c>
      <c r="E183">
        <v>5001116</v>
      </c>
      <c r="F183">
        <v>169770</v>
      </c>
      <c r="G183" t="s">
        <v>145</v>
      </c>
      <c r="H183">
        <v>561040000</v>
      </c>
      <c r="I183" t="str">
        <f t="shared" si="2"/>
        <v>$0-$50</v>
      </c>
    </row>
    <row r="184" spans="1:9" x14ac:dyDescent="0.35">
      <c r="A184" t="s">
        <v>109</v>
      </c>
      <c r="B184" t="s">
        <v>110</v>
      </c>
      <c r="C184">
        <v>5.0000000000000001E-3</v>
      </c>
      <c r="D184">
        <v>4.48E-2</v>
      </c>
      <c r="E184">
        <v>4963366</v>
      </c>
      <c r="F184">
        <v>2738594</v>
      </c>
      <c r="G184" t="s">
        <v>144</v>
      </c>
      <c r="H184">
        <v>999960000</v>
      </c>
      <c r="I184" t="str">
        <f t="shared" si="2"/>
        <v>$0-$50</v>
      </c>
    </row>
    <row r="185" spans="1:9" x14ac:dyDescent="0.35">
      <c r="A185" t="s">
        <v>405</v>
      </c>
      <c r="B185" t="s">
        <v>406</v>
      </c>
      <c r="C185">
        <v>0.35610000000000003</v>
      </c>
      <c r="D185">
        <v>0</v>
      </c>
      <c r="E185">
        <v>4959267</v>
      </c>
      <c r="F185">
        <v>40175</v>
      </c>
      <c r="G185" t="s">
        <v>144</v>
      </c>
      <c r="H185">
        <v>13920000</v>
      </c>
      <c r="I185" t="str">
        <f t="shared" si="2"/>
        <v>$0-$50</v>
      </c>
    </row>
    <row r="186" spans="1:9" x14ac:dyDescent="0.35">
      <c r="A186" t="s">
        <v>407</v>
      </c>
      <c r="B186" t="s">
        <v>408</v>
      </c>
      <c r="C186">
        <v>1.6999999999999999E-3</v>
      </c>
      <c r="D186">
        <v>5.4000000000000003E-3</v>
      </c>
      <c r="E186">
        <v>4946179</v>
      </c>
      <c r="F186">
        <v>12375480</v>
      </c>
      <c r="G186" t="s">
        <v>144</v>
      </c>
      <c r="H186">
        <v>2900000000</v>
      </c>
      <c r="I186" t="str">
        <f t="shared" si="2"/>
        <v>$0-$50</v>
      </c>
    </row>
    <row r="187" spans="1:9" x14ac:dyDescent="0.35">
      <c r="A187" t="s">
        <v>409</v>
      </c>
      <c r="B187" t="s">
        <v>410</v>
      </c>
      <c r="C187">
        <v>0.7026</v>
      </c>
      <c r="D187">
        <v>1.18E-2</v>
      </c>
      <c r="E187">
        <v>4931501</v>
      </c>
      <c r="F187">
        <v>24261</v>
      </c>
      <c r="G187" t="s">
        <v>145</v>
      </c>
      <c r="H187">
        <v>7010000</v>
      </c>
      <c r="I187" t="str">
        <f t="shared" si="2"/>
        <v>$0-$50</v>
      </c>
    </row>
    <row r="188" spans="1:9" x14ac:dyDescent="0.35">
      <c r="A188" t="s">
        <v>411</v>
      </c>
      <c r="B188" t="s">
        <v>412</v>
      </c>
      <c r="C188">
        <v>0.35560000000000003</v>
      </c>
      <c r="D188">
        <v>4.0000000000000002E-4</v>
      </c>
      <c r="E188">
        <v>4929814</v>
      </c>
      <c r="F188">
        <v>584219</v>
      </c>
      <c r="G188" t="s">
        <v>145</v>
      </c>
      <c r="H188">
        <v>13850000</v>
      </c>
      <c r="I188" t="str">
        <f t="shared" si="2"/>
        <v>$0-$50</v>
      </c>
    </row>
    <row r="189" spans="1:9" x14ac:dyDescent="0.35">
      <c r="A189" t="s">
        <v>413</v>
      </c>
      <c r="B189" t="s">
        <v>414</v>
      </c>
      <c r="C189">
        <v>1127.72</v>
      </c>
      <c r="D189">
        <v>8.9999999999999998E-4</v>
      </c>
      <c r="E189">
        <v>4912670</v>
      </c>
      <c r="F189">
        <v>3519520</v>
      </c>
      <c r="G189" t="s">
        <v>145</v>
      </c>
      <c r="H189">
        <v>4350</v>
      </c>
      <c r="I189" t="str">
        <f t="shared" si="2"/>
        <v>Above $50</v>
      </c>
    </row>
    <row r="190" spans="1:9" x14ac:dyDescent="0.35">
      <c r="A190" t="s">
        <v>415</v>
      </c>
      <c r="B190" t="s">
        <v>416</v>
      </c>
      <c r="C190">
        <v>2.0000000000000001E-4</v>
      </c>
      <c r="D190">
        <v>3.8E-3</v>
      </c>
      <c r="E190">
        <v>4905997</v>
      </c>
      <c r="F190">
        <v>64300</v>
      </c>
      <c r="G190" t="s">
        <v>145</v>
      </c>
      <c r="H190">
        <v>21000000000</v>
      </c>
      <c r="I190" t="str">
        <f t="shared" si="2"/>
        <v>$0-$50</v>
      </c>
    </row>
    <row r="191" spans="1:9" x14ac:dyDescent="0.35">
      <c r="A191" t="s">
        <v>107</v>
      </c>
      <c r="B191" t="s">
        <v>108</v>
      </c>
      <c r="C191">
        <v>3.3E-3</v>
      </c>
      <c r="D191">
        <v>2.8999999999999998E-3</v>
      </c>
      <c r="E191">
        <v>4896055</v>
      </c>
      <c r="F191">
        <v>7528812</v>
      </c>
      <c r="G191" t="s">
        <v>145</v>
      </c>
      <c r="H191">
        <v>1480000000</v>
      </c>
      <c r="I191" t="str">
        <f t="shared" si="2"/>
        <v>$0-$50</v>
      </c>
    </row>
    <row r="192" spans="1:9" x14ac:dyDescent="0.35">
      <c r="A192" t="s">
        <v>105</v>
      </c>
      <c r="B192" t="s">
        <v>106</v>
      </c>
      <c r="C192">
        <v>8.3000000000000001E-3</v>
      </c>
      <c r="D192">
        <v>3.2500000000000001E-2</v>
      </c>
      <c r="E192">
        <v>4876890</v>
      </c>
      <c r="F192">
        <v>38307907</v>
      </c>
      <c r="G192" t="s">
        <v>145</v>
      </c>
      <c r="H192">
        <v>585640000</v>
      </c>
      <c r="I192" t="str">
        <f t="shared" si="2"/>
        <v>$0-$50</v>
      </c>
    </row>
    <row r="193" spans="1:9" x14ac:dyDescent="0.35">
      <c r="A193" t="s">
        <v>417</v>
      </c>
      <c r="B193" t="s">
        <v>418</v>
      </c>
      <c r="C193">
        <v>1.89E-2</v>
      </c>
      <c r="D193">
        <v>1.9400000000000001E-2</v>
      </c>
      <c r="E193">
        <v>3976367</v>
      </c>
      <c r="F193">
        <v>217259</v>
      </c>
      <c r="G193" t="s">
        <v>145</v>
      </c>
      <c r="H193">
        <v>209900000</v>
      </c>
      <c r="I193" t="str">
        <f t="shared" si="2"/>
        <v>$0-$50</v>
      </c>
    </row>
    <row r="194" spans="1:9" x14ac:dyDescent="0.35">
      <c r="A194" t="s">
        <v>99</v>
      </c>
      <c r="B194" t="s">
        <v>100</v>
      </c>
      <c r="C194">
        <v>4.0000000000000002E-4</v>
      </c>
      <c r="D194">
        <v>7.7499999999999999E-2</v>
      </c>
      <c r="E194">
        <v>3972245</v>
      </c>
      <c r="F194">
        <v>378834</v>
      </c>
      <c r="G194" t="s">
        <v>145</v>
      </c>
      <c r="H194">
        <v>8880000000</v>
      </c>
      <c r="I194" t="str">
        <f t="shared" ref="I194:I257" si="3">IF(C194&lt;=50,"$0-$50","Above $50")</f>
        <v>$0-$50</v>
      </c>
    </row>
    <row r="195" spans="1:9" x14ac:dyDescent="0.35">
      <c r="A195" t="s">
        <v>419</v>
      </c>
      <c r="B195" t="s">
        <v>420</v>
      </c>
      <c r="C195">
        <v>7.1999999999999998E-3</v>
      </c>
      <c r="D195">
        <v>1.4999999999999999E-2</v>
      </c>
      <c r="E195">
        <v>3974558</v>
      </c>
      <c r="F195">
        <v>32371110</v>
      </c>
      <c r="G195" t="s">
        <v>144</v>
      </c>
      <c r="H195">
        <v>550320000</v>
      </c>
      <c r="I195" t="str">
        <f t="shared" si="3"/>
        <v>$0-$50</v>
      </c>
    </row>
    <row r="196" spans="1:9" x14ac:dyDescent="0.35">
      <c r="A196" t="s">
        <v>421</v>
      </c>
      <c r="B196" t="s">
        <v>422</v>
      </c>
      <c r="C196">
        <v>1.7600000000000001E-2</v>
      </c>
      <c r="D196">
        <v>4.0000000000000002E-4</v>
      </c>
      <c r="E196">
        <v>3967959</v>
      </c>
      <c r="F196">
        <v>852975</v>
      </c>
      <c r="G196" t="s">
        <v>144</v>
      </c>
      <c r="H196">
        <v>224750000</v>
      </c>
      <c r="I196" t="str">
        <f t="shared" si="3"/>
        <v>$0-$50</v>
      </c>
    </row>
    <row r="197" spans="1:9" x14ac:dyDescent="0.35">
      <c r="A197" t="s">
        <v>423</v>
      </c>
      <c r="B197" t="s">
        <v>424</v>
      </c>
      <c r="C197">
        <v>8.0000000000000004E-4</v>
      </c>
      <c r="D197">
        <v>7.6E-3</v>
      </c>
      <c r="E197">
        <v>3941581</v>
      </c>
      <c r="F197">
        <v>8521023</v>
      </c>
      <c r="G197" t="s">
        <v>145</v>
      </c>
      <c r="H197">
        <v>4810000000</v>
      </c>
      <c r="I197" t="str">
        <f t="shared" si="3"/>
        <v>$0-$50</v>
      </c>
    </row>
    <row r="198" spans="1:9" x14ac:dyDescent="0.35">
      <c r="A198" t="s">
        <v>425</v>
      </c>
      <c r="B198" t="s">
        <v>426</v>
      </c>
      <c r="C198">
        <v>0</v>
      </c>
      <c r="D198">
        <v>2.3E-3</v>
      </c>
      <c r="E198">
        <v>3919929</v>
      </c>
      <c r="F198">
        <v>6403</v>
      </c>
      <c r="G198" t="s">
        <v>145</v>
      </c>
      <c r="H198">
        <v>119640000000</v>
      </c>
      <c r="I198" t="str">
        <f t="shared" si="3"/>
        <v>$0-$50</v>
      </c>
    </row>
    <row r="199" spans="1:9" x14ac:dyDescent="0.35">
      <c r="A199" t="s">
        <v>427</v>
      </c>
      <c r="B199" t="s">
        <v>428</v>
      </c>
      <c r="C199">
        <v>4.4000000000000003E-3</v>
      </c>
      <c r="D199">
        <v>8.0000000000000004E-4</v>
      </c>
      <c r="E199">
        <v>3905453</v>
      </c>
      <c r="F199">
        <v>995138</v>
      </c>
      <c r="G199" t="s">
        <v>145</v>
      </c>
      <c r="H199">
        <v>878820000</v>
      </c>
      <c r="I199" t="str">
        <f t="shared" si="3"/>
        <v>$0-$50</v>
      </c>
    </row>
    <row r="200" spans="1:9" x14ac:dyDescent="0.35">
      <c r="A200" t="s">
        <v>429</v>
      </c>
      <c r="B200" t="s">
        <v>430</v>
      </c>
      <c r="C200">
        <v>8.3900000000000002E-2</v>
      </c>
      <c r="D200">
        <v>5.9999999999999995E-4</v>
      </c>
      <c r="E200">
        <v>3884725</v>
      </c>
      <c r="F200">
        <v>2597815</v>
      </c>
      <c r="G200" t="s">
        <v>144</v>
      </c>
      <c r="I200" t="str">
        <f t="shared" si="3"/>
        <v>$0-$50</v>
      </c>
    </row>
    <row r="201" spans="1:9" x14ac:dyDescent="0.35">
      <c r="A201" t="s">
        <v>113</v>
      </c>
      <c r="B201" t="s">
        <v>114</v>
      </c>
      <c r="C201">
        <v>8.2000000000000007E-3</v>
      </c>
      <c r="D201">
        <v>7.1000000000000004E-3</v>
      </c>
      <c r="E201">
        <v>3882095</v>
      </c>
      <c r="F201">
        <v>207968</v>
      </c>
      <c r="G201" t="s">
        <v>145</v>
      </c>
      <c r="H201">
        <v>471420000</v>
      </c>
      <c r="I201" t="str">
        <f t="shared" si="3"/>
        <v>$0-$50</v>
      </c>
    </row>
    <row r="202" spans="1:9" x14ac:dyDescent="0.35">
      <c r="A202" t="s">
        <v>431</v>
      </c>
      <c r="B202" t="s">
        <v>432</v>
      </c>
      <c r="C202">
        <v>5.9999999999999995E-4</v>
      </c>
      <c r="D202">
        <v>1.7500000000000002E-2</v>
      </c>
      <c r="E202">
        <v>3869077</v>
      </c>
      <c r="F202">
        <v>1872715</v>
      </c>
      <c r="G202" t="s">
        <v>144</v>
      </c>
      <c r="H202">
        <v>6830000000</v>
      </c>
      <c r="I202" t="str">
        <f t="shared" si="3"/>
        <v>$0-$50</v>
      </c>
    </row>
    <row r="203" spans="1:9" x14ac:dyDescent="0.35">
      <c r="A203" t="s">
        <v>433</v>
      </c>
      <c r="B203" t="s">
        <v>434</v>
      </c>
      <c r="C203">
        <v>0.17349999999999999</v>
      </c>
      <c r="D203">
        <v>4.3E-3</v>
      </c>
      <c r="E203">
        <v>3878272</v>
      </c>
      <c r="F203">
        <v>1740419</v>
      </c>
      <c r="G203" t="s">
        <v>145</v>
      </c>
      <c r="H203">
        <v>22340000</v>
      </c>
      <c r="I203" t="str">
        <f t="shared" si="3"/>
        <v>$0-$50</v>
      </c>
    </row>
    <row r="204" spans="1:9" x14ac:dyDescent="0.35">
      <c r="A204" t="s">
        <v>111</v>
      </c>
      <c r="B204" t="s">
        <v>112</v>
      </c>
      <c r="C204">
        <v>80.25</v>
      </c>
      <c r="D204">
        <v>4.3E-3</v>
      </c>
      <c r="E204">
        <v>3861791</v>
      </c>
      <c r="F204">
        <v>2343933</v>
      </c>
      <c r="G204" t="s">
        <v>144</v>
      </c>
      <c r="H204">
        <v>48110</v>
      </c>
      <c r="I204" t="str">
        <f t="shared" si="3"/>
        <v>Above $50</v>
      </c>
    </row>
    <row r="205" spans="1:9" x14ac:dyDescent="0.35">
      <c r="A205" t="s">
        <v>435</v>
      </c>
      <c r="B205" t="s">
        <v>436</v>
      </c>
      <c r="C205">
        <v>2.5700000000000001E-2</v>
      </c>
      <c r="D205">
        <v>9.5999999999999992E-3</v>
      </c>
      <c r="E205">
        <v>3856893</v>
      </c>
      <c r="F205">
        <v>1776</v>
      </c>
      <c r="G205" t="s">
        <v>144</v>
      </c>
      <c r="H205">
        <v>149990000</v>
      </c>
      <c r="I205" t="str">
        <f t="shared" si="3"/>
        <v>$0-$50</v>
      </c>
    </row>
    <row r="206" spans="1:9" x14ac:dyDescent="0.35">
      <c r="A206" t="s">
        <v>115</v>
      </c>
      <c r="B206" t="s">
        <v>116</v>
      </c>
      <c r="C206">
        <v>5.9200000000000003E-2</v>
      </c>
      <c r="D206">
        <v>1.5E-3</v>
      </c>
      <c r="E206">
        <v>3856893</v>
      </c>
      <c r="F206">
        <v>401875</v>
      </c>
      <c r="G206" t="s">
        <v>145</v>
      </c>
      <c r="H206">
        <v>417210000000</v>
      </c>
      <c r="I206" t="str">
        <f t="shared" si="3"/>
        <v>$0-$50</v>
      </c>
    </row>
    <row r="207" spans="1:9" x14ac:dyDescent="0.35">
      <c r="A207" t="s">
        <v>117</v>
      </c>
      <c r="B207" t="s">
        <v>118</v>
      </c>
      <c r="C207">
        <v>1.4500000000000001E-2</v>
      </c>
      <c r="D207">
        <v>1.4E-3</v>
      </c>
      <c r="E207">
        <v>3083850</v>
      </c>
      <c r="F207">
        <v>182797</v>
      </c>
      <c r="G207" t="s">
        <v>144</v>
      </c>
      <c r="H207">
        <v>213140000</v>
      </c>
      <c r="I207" t="str">
        <f t="shared" si="3"/>
        <v>$0-$50</v>
      </c>
    </row>
    <row r="208" spans="1:9" x14ac:dyDescent="0.35">
      <c r="A208" t="s">
        <v>437</v>
      </c>
      <c r="B208" t="s">
        <v>438</v>
      </c>
      <c r="C208">
        <v>6.6E-3</v>
      </c>
      <c r="D208">
        <v>2.5999999999999999E-3</v>
      </c>
      <c r="E208">
        <v>3064880</v>
      </c>
      <c r="F208">
        <v>302690</v>
      </c>
      <c r="G208" t="s">
        <v>144</v>
      </c>
      <c r="H208">
        <v>464390000</v>
      </c>
      <c r="I208" t="str">
        <f t="shared" si="3"/>
        <v>$0-$50</v>
      </c>
    </row>
    <row r="209" spans="1:9" x14ac:dyDescent="0.35">
      <c r="A209" t="s">
        <v>119</v>
      </c>
      <c r="B209" t="s">
        <v>120</v>
      </c>
      <c r="C209">
        <v>5.8099999999999999E-2</v>
      </c>
      <c r="D209">
        <v>2.9999999999999997E-4</v>
      </c>
      <c r="E209">
        <v>3063211</v>
      </c>
      <c r="F209">
        <v>217674</v>
      </c>
      <c r="G209" t="s">
        <v>144</v>
      </c>
      <c r="H209">
        <v>52740000</v>
      </c>
      <c r="I209" t="str">
        <f t="shared" si="3"/>
        <v>$0-$50</v>
      </c>
    </row>
    <row r="210" spans="1:9" x14ac:dyDescent="0.35">
      <c r="A210" t="s">
        <v>439</v>
      </c>
      <c r="B210" t="s">
        <v>440</v>
      </c>
      <c r="C210">
        <v>1.6199999999999999E-2</v>
      </c>
      <c r="D210">
        <v>1.1999999999999999E-3</v>
      </c>
      <c r="E210">
        <v>3045908</v>
      </c>
      <c r="F210">
        <v>51982</v>
      </c>
      <c r="G210" t="s">
        <v>144</v>
      </c>
      <c r="H210">
        <v>187760000</v>
      </c>
      <c r="I210" t="str">
        <f t="shared" si="3"/>
        <v>$0-$50</v>
      </c>
    </row>
    <row r="211" spans="1:9" x14ac:dyDescent="0.35">
      <c r="A211" t="s">
        <v>441</v>
      </c>
      <c r="B211" t="s">
        <v>442</v>
      </c>
      <c r="C211">
        <v>5.0000000000000001E-4</v>
      </c>
      <c r="D211">
        <v>7.9000000000000008E-3</v>
      </c>
      <c r="E211">
        <v>3038724</v>
      </c>
      <c r="F211">
        <v>34550</v>
      </c>
      <c r="G211" t="s">
        <v>145</v>
      </c>
      <c r="H211">
        <v>5980000000</v>
      </c>
      <c r="I211" t="str">
        <f t="shared" si="3"/>
        <v>$0-$50</v>
      </c>
    </row>
    <row r="212" spans="1:9" x14ac:dyDescent="0.35">
      <c r="A212" t="s">
        <v>443</v>
      </c>
      <c r="B212" t="s">
        <v>444</v>
      </c>
      <c r="C212">
        <v>5.0000000000000001E-4</v>
      </c>
      <c r="D212">
        <v>1.6299999999999999E-2</v>
      </c>
      <c r="E212">
        <v>3045265</v>
      </c>
      <c r="F212">
        <v>97858</v>
      </c>
      <c r="G212" t="s">
        <v>145</v>
      </c>
      <c r="H212">
        <v>6070000000</v>
      </c>
      <c r="I212" t="str">
        <f t="shared" si="3"/>
        <v>$0-$50</v>
      </c>
    </row>
    <row r="213" spans="1:9" x14ac:dyDescent="0.35">
      <c r="A213" t="s">
        <v>445</v>
      </c>
      <c r="B213" t="s">
        <v>446</v>
      </c>
      <c r="C213">
        <v>1E-4</v>
      </c>
      <c r="D213">
        <v>1.0500000000000001E-2</v>
      </c>
      <c r="E213">
        <v>3030258</v>
      </c>
      <c r="F213">
        <v>91287</v>
      </c>
      <c r="G213" t="s">
        <v>145</v>
      </c>
      <c r="H213">
        <v>23470000000</v>
      </c>
      <c r="I213" t="str">
        <f t="shared" si="3"/>
        <v>$0-$50</v>
      </c>
    </row>
    <row r="214" spans="1:9" x14ac:dyDescent="0.35">
      <c r="A214" t="s">
        <v>447</v>
      </c>
      <c r="B214" t="s">
        <v>448</v>
      </c>
      <c r="C214">
        <v>74.599999999999994</v>
      </c>
      <c r="D214">
        <v>2.8999999999999998E-3</v>
      </c>
      <c r="E214">
        <v>3022812</v>
      </c>
      <c r="F214">
        <v>758633</v>
      </c>
      <c r="G214" t="s">
        <v>145</v>
      </c>
      <c r="H214">
        <v>40510</v>
      </c>
      <c r="I214" t="str">
        <f t="shared" si="3"/>
        <v>Above $50</v>
      </c>
    </row>
    <row r="215" spans="1:9" x14ac:dyDescent="0.35">
      <c r="A215" t="s">
        <v>121</v>
      </c>
      <c r="B215" t="s">
        <v>122</v>
      </c>
      <c r="C215">
        <v>6.1999999999999998E-3</v>
      </c>
      <c r="D215">
        <v>1.5E-3</v>
      </c>
      <c r="E215">
        <v>3017236</v>
      </c>
      <c r="F215">
        <v>164804</v>
      </c>
      <c r="G215" t="s">
        <v>144</v>
      </c>
      <c r="H215">
        <v>486500000</v>
      </c>
      <c r="I215" t="str">
        <f t="shared" si="3"/>
        <v>$0-$50</v>
      </c>
    </row>
    <row r="216" spans="1:9" x14ac:dyDescent="0.35">
      <c r="A216" t="s">
        <v>449</v>
      </c>
      <c r="B216" t="s">
        <v>450</v>
      </c>
      <c r="C216">
        <v>5.0000000000000001E-4</v>
      </c>
      <c r="D216">
        <v>1.7000000000000001E-2</v>
      </c>
      <c r="E216">
        <v>3007470</v>
      </c>
      <c r="F216">
        <v>3201669</v>
      </c>
      <c r="G216" t="s">
        <v>145</v>
      </c>
      <c r="H216">
        <v>5500000000</v>
      </c>
      <c r="I216" t="str">
        <f t="shared" si="3"/>
        <v>$0-$50</v>
      </c>
    </row>
    <row r="217" spans="1:9" x14ac:dyDescent="0.35">
      <c r="A217" t="s">
        <v>451</v>
      </c>
      <c r="B217" t="s">
        <v>452</v>
      </c>
      <c r="C217">
        <v>6.0000000000000001E-3</v>
      </c>
      <c r="D217">
        <v>3.5099999999999999E-2</v>
      </c>
      <c r="E217">
        <v>3006189</v>
      </c>
      <c r="F217">
        <v>120681</v>
      </c>
      <c r="G217" t="s">
        <v>144</v>
      </c>
      <c r="H217">
        <v>500000000</v>
      </c>
      <c r="I217" t="str">
        <f t="shared" si="3"/>
        <v>$0-$50</v>
      </c>
    </row>
    <row r="218" spans="1:9" x14ac:dyDescent="0.35">
      <c r="A218" t="s">
        <v>453</v>
      </c>
      <c r="B218" t="s">
        <v>454</v>
      </c>
      <c r="C218">
        <v>8.0999999999999996E-3</v>
      </c>
      <c r="D218">
        <v>4.0000000000000002E-4</v>
      </c>
      <c r="E218">
        <v>2987092</v>
      </c>
      <c r="F218">
        <v>1</v>
      </c>
      <c r="G218" t="s">
        <v>144</v>
      </c>
      <c r="H218">
        <v>370770000</v>
      </c>
      <c r="I218" t="str">
        <f t="shared" si="3"/>
        <v>$0-$50</v>
      </c>
    </row>
    <row r="219" spans="1:9" x14ac:dyDescent="0.35">
      <c r="A219" t="s">
        <v>455</v>
      </c>
      <c r="B219" t="s">
        <v>456</v>
      </c>
      <c r="C219">
        <v>3.8999999999999998E-3</v>
      </c>
      <c r="D219">
        <v>2.5999999999999999E-3</v>
      </c>
      <c r="E219">
        <v>2984414</v>
      </c>
      <c r="F219">
        <v>1315722</v>
      </c>
      <c r="G219" t="s">
        <v>144</v>
      </c>
      <c r="H219">
        <v>766340000</v>
      </c>
      <c r="I219" t="str">
        <f t="shared" si="3"/>
        <v>$0-$50</v>
      </c>
    </row>
    <row r="220" spans="1:9" x14ac:dyDescent="0.35">
      <c r="A220" t="s">
        <v>457</v>
      </c>
      <c r="B220" t="s">
        <v>458</v>
      </c>
      <c r="C220">
        <v>8.7099999999999997E-2</v>
      </c>
      <c r="D220">
        <v>0.1454</v>
      </c>
      <c r="E220">
        <v>2982813</v>
      </c>
      <c r="F220">
        <v>368122</v>
      </c>
      <c r="G220" t="s">
        <v>144</v>
      </c>
      <c r="H220">
        <v>420680000000000</v>
      </c>
      <c r="I220" t="str">
        <f t="shared" si="3"/>
        <v>$0-$50</v>
      </c>
    </row>
    <row r="221" spans="1:9" x14ac:dyDescent="0.35">
      <c r="A221" t="s">
        <v>459</v>
      </c>
      <c r="B221" t="s">
        <v>460</v>
      </c>
      <c r="C221">
        <v>3.0999999999999999E-3</v>
      </c>
      <c r="D221">
        <v>2.7199999999999998E-2</v>
      </c>
      <c r="E221">
        <v>2354870</v>
      </c>
      <c r="F221">
        <v>59813</v>
      </c>
      <c r="G221" t="s">
        <v>145</v>
      </c>
      <c r="H221">
        <v>751510000</v>
      </c>
      <c r="I221" t="str">
        <f t="shared" si="3"/>
        <v>$0-$50</v>
      </c>
    </row>
    <row r="222" spans="1:9" x14ac:dyDescent="0.35">
      <c r="A222" t="s">
        <v>461</v>
      </c>
      <c r="B222" t="s">
        <v>462</v>
      </c>
      <c r="C222">
        <v>6.4000000000000003E-3</v>
      </c>
      <c r="D222">
        <v>4.0000000000000002E-4</v>
      </c>
      <c r="E222">
        <v>2346526</v>
      </c>
      <c r="F222">
        <v>559825</v>
      </c>
      <c r="G222" t="s">
        <v>145</v>
      </c>
      <c r="H222">
        <v>368630000</v>
      </c>
      <c r="I222" t="str">
        <f t="shared" si="3"/>
        <v>$0-$50</v>
      </c>
    </row>
    <row r="223" spans="1:9" x14ac:dyDescent="0.35">
      <c r="A223" t="s">
        <v>463</v>
      </c>
      <c r="B223" t="s">
        <v>118</v>
      </c>
      <c r="C223">
        <v>2.0000000000000001E-4</v>
      </c>
      <c r="D223">
        <v>1E-3</v>
      </c>
      <c r="E223">
        <v>2337459</v>
      </c>
      <c r="F223">
        <v>433406</v>
      </c>
      <c r="G223" t="s">
        <v>145</v>
      </c>
      <c r="H223">
        <v>10260000000</v>
      </c>
      <c r="I223" t="str">
        <f t="shared" si="3"/>
        <v>$0-$50</v>
      </c>
    </row>
    <row r="224" spans="1:9" x14ac:dyDescent="0.35">
      <c r="A224" t="s">
        <v>464</v>
      </c>
      <c r="B224" t="s">
        <v>465</v>
      </c>
      <c r="C224">
        <v>2.0999999999999999E-3</v>
      </c>
      <c r="D224">
        <v>7.1000000000000004E-3</v>
      </c>
      <c r="E224">
        <v>2336239</v>
      </c>
      <c r="F224">
        <v>237806</v>
      </c>
      <c r="G224" t="s">
        <v>144</v>
      </c>
      <c r="H224">
        <v>1130000000</v>
      </c>
      <c r="I224" t="str">
        <f t="shared" si="3"/>
        <v>$0-$50</v>
      </c>
    </row>
    <row r="225" spans="1:9" x14ac:dyDescent="0.35">
      <c r="A225" t="s">
        <v>466</v>
      </c>
      <c r="B225" t="s">
        <v>467</v>
      </c>
      <c r="C225">
        <v>5.0000000000000001E-4</v>
      </c>
      <c r="D225">
        <v>9.5999999999999992E-3</v>
      </c>
      <c r="E225">
        <v>2312857</v>
      </c>
      <c r="F225">
        <v>48313</v>
      </c>
      <c r="G225" t="s">
        <v>145</v>
      </c>
      <c r="H225">
        <v>4680000000</v>
      </c>
      <c r="I225" t="str">
        <f t="shared" si="3"/>
        <v>$0-$50</v>
      </c>
    </row>
    <row r="226" spans="1:9" x14ac:dyDescent="0.35">
      <c r="A226" t="s">
        <v>468</v>
      </c>
      <c r="B226" t="s">
        <v>75</v>
      </c>
      <c r="C226">
        <v>6.13E-2</v>
      </c>
      <c r="D226">
        <v>1E-4</v>
      </c>
      <c r="E226">
        <v>2320829</v>
      </c>
      <c r="F226">
        <v>239</v>
      </c>
      <c r="G226" t="s">
        <v>145</v>
      </c>
      <c r="H226">
        <v>18410000000000</v>
      </c>
      <c r="I226" t="str">
        <f t="shared" si="3"/>
        <v>$0-$50</v>
      </c>
    </row>
    <row r="227" spans="1:9" x14ac:dyDescent="0.35">
      <c r="A227" t="s">
        <v>469</v>
      </c>
      <c r="B227" t="s">
        <v>470</v>
      </c>
      <c r="C227">
        <v>0.46160000000000001</v>
      </c>
      <c r="D227">
        <v>1E-4</v>
      </c>
      <c r="E227">
        <v>2308183</v>
      </c>
      <c r="F227">
        <v>7901</v>
      </c>
      <c r="G227" t="s">
        <v>144</v>
      </c>
      <c r="H227">
        <v>4990000</v>
      </c>
      <c r="I227" t="str">
        <f t="shared" si="3"/>
        <v>$0-$50</v>
      </c>
    </row>
    <row r="228" spans="1:9" x14ac:dyDescent="0.35">
      <c r="A228" t="s">
        <v>471</v>
      </c>
      <c r="B228" t="s">
        <v>472</v>
      </c>
      <c r="C228">
        <v>3.5000000000000001E-3</v>
      </c>
      <c r="D228">
        <v>3.3799999999999997E-2</v>
      </c>
      <c r="E228">
        <v>2308047</v>
      </c>
      <c r="F228">
        <v>17602</v>
      </c>
      <c r="G228" t="s">
        <v>144</v>
      </c>
      <c r="H228">
        <v>664000000</v>
      </c>
      <c r="I228" t="str">
        <f t="shared" si="3"/>
        <v>$0-$50</v>
      </c>
    </row>
    <row r="229" spans="1:9" x14ac:dyDescent="0.35">
      <c r="A229" t="s">
        <v>473</v>
      </c>
      <c r="B229" t="s">
        <v>474</v>
      </c>
      <c r="C229">
        <v>5.2299999999999999E-2</v>
      </c>
      <c r="D229">
        <v>1.1900000000000001E-2</v>
      </c>
      <c r="E229">
        <v>2302202</v>
      </c>
      <c r="F229">
        <v>676198</v>
      </c>
      <c r="G229" t="s">
        <v>144</v>
      </c>
      <c r="H229">
        <v>1000000000000</v>
      </c>
      <c r="I229" t="str">
        <f t="shared" si="3"/>
        <v>$0-$50</v>
      </c>
    </row>
    <row r="230" spans="1:9" x14ac:dyDescent="0.35">
      <c r="A230" t="s">
        <v>125</v>
      </c>
      <c r="B230" t="s">
        <v>126</v>
      </c>
      <c r="C230">
        <v>2.3E-3</v>
      </c>
      <c r="D230">
        <v>2.8999999999999998E-3</v>
      </c>
      <c r="E230">
        <v>2293012</v>
      </c>
      <c r="F230">
        <v>359670</v>
      </c>
      <c r="G230" t="s">
        <v>145</v>
      </c>
      <c r="H230">
        <v>995210000</v>
      </c>
      <c r="I230" t="str">
        <f t="shared" si="3"/>
        <v>$0-$50</v>
      </c>
    </row>
    <row r="231" spans="1:9" x14ac:dyDescent="0.35">
      <c r="A231" t="s">
        <v>475</v>
      </c>
      <c r="B231" t="s">
        <v>476</v>
      </c>
      <c r="C231">
        <v>1.3100000000000001E-2</v>
      </c>
      <c r="D231">
        <v>4.0000000000000002E-4</v>
      </c>
      <c r="E231">
        <v>2272812</v>
      </c>
      <c r="F231">
        <v>12078</v>
      </c>
      <c r="G231" t="s">
        <v>145</v>
      </c>
      <c r="H231">
        <v>173820000</v>
      </c>
      <c r="I231" t="str">
        <f t="shared" si="3"/>
        <v>$0-$50</v>
      </c>
    </row>
    <row r="232" spans="1:9" x14ac:dyDescent="0.35">
      <c r="A232" t="s">
        <v>123</v>
      </c>
      <c r="B232" t="s">
        <v>124</v>
      </c>
      <c r="C232">
        <v>5.0000000000000001E-4</v>
      </c>
      <c r="D232">
        <v>2.9999999999999997E-4</v>
      </c>
      <c r="E232">
        <v>2270858</v>
      </c>
      <c r="F232">
        <v>1316156</v>
      </c>
      <c r="G232" t="s">
        <v>145</v>
      </c>
      <c r="H232">
        <v>4219999999.9999995</v>
      </c>
      <c r="I232" t="str">
        <f t="shared" si="3"/>
        <v>$0-$50</v>
      </c>
    </row>
    <row r="233" spans="1:9" x14ac:dyDescent="0.35">
      <c r="A233" t="s">
        <v>477</v>
      </c>
      <c r="B233" t="s">
        <v>478</v>
      </c>
      <c r="C233">
        <v>146.13999999999999</v>
      </c>
      <c r="D233">
        <v>1.8E-3</v>
      </c>
      <c r="E233">
        <v>2262957</v>
      </c>
      <c r="F233">
        <v>1825127</v>
      </c>
      <c r="G233" t="s">
        <v>145</v>
      </c>
      <c r="H233">
        <v>15480</v>
      </c>
      <c r="I233" t="str">
        <f t="shared" si="3"/>
        <v>Above $50</v>
      </c>
    </row>
    <row r="234" spans="1:9" x14ac:dyDescent="0.35">
      <c r="A234" t="s">
        <v>479</v>
      </c>
      <c r="B234" t="s">
        <v>480</v>
      </c>
      <c r="C234">
        <v>8.43E-2</v>
      </c>
      <c r="D234">
        <v>3.7999999999999999E-2</v>
      </c>
      <c r="E234">
        <v>1806964</v>
      </c>
      <c r="F234">
        <v>101991</v>
      </c>
      <c r="G234" t="s">
        <v>145</v>
      </c>
      <c r="H234">
        <v>420000000000000</v>
      </c>
      <c r="I234" t="str">
        <f t="shared" si="3"/>
        <v>$0-$50</v>
      </c>
    </row>
    <row r="235" spans="1:9" x14ac:dyDescent="0.35">
      <c r="A235" t="s">
        <v>481</v>
      </c>
      <c r="B235" t="s">
        <v>482</v>
      </c>
      <c r="C235">
        <v>9.2700000000000005E-2</v>
      </c>
      <c r="D235">
        <v>2.8999999999999998E-3</v>
      </c>
      <c r="E235">
        <v>1806691</v>
      </c>
      <c r="F235">
        <v>276756</v>
      </c>
      <c r="G235" t="s">
        <v>144</v>
      </c>
      <c r="H235">
        <v>19480000</v>
      </c>
      <c r="I235" t="str">
        <f t="shared" si="3"/>
        <v>$0-$50</v>
      </c>
    </row>
    <row r="236" spans="1:9" x14ac:dyDescent="0.35">
      <c r="A236" t="s">
        <v>483</v>
      </c>
      <c r="B236" t="s">
        <v>484</v>
      </c>
      <c r="C236">
        <v>325.76</v>
      </c>
      <c r="D236">
        <v>0</v>
      </c>
      <c r="E236">
        <v>1791774</v>
      </c>
      <c r="F236">
        <v>876284</v>
      </c>
      <c r="G236" t="s">
        <v>145</v>
      </c>
      <c r="H236">
        <v>5500</v>
      </c>
      <c r="I236" t="str">
        <f t="shared" si="3"/>
        <v>Above $50</v>
      </c>
    </row>
    <row r="237" spans="1:9" x14ac:dyDescent="0.35">
      <c r="A237" t="s">
        <v>485</v>
      </c>
      <c r="B237" t="s">
        <v>485</v>
      </c>
      <c r="C237">
        <v>2.0000000000000001E-4</v>
      </c>
      <c r="D237">
        <v>1.09E-2</v>
      </c>
      <c r="E237">
        <v>1786533</v>
      </c>
      <c r="F237">
        <v>332122</v>
      </c>
      <c r="G237" t="s">
        <v>145</v>
      </c>
      <c r="H237">
        <v>8850000000</v>
      </c>
      <c r="I237" t="str">
        <f t="shared" si="3"/>
        <v>$0-$50</v>
      </c>
    </row>
    <row r="238" spans="1:9" x14ac:dyDescent="0.35">
      <c r="A238" t="s">
        <v>486</v>
      </c>
      <c r="B238" t="s">
        <v>487</v>
      </c>
      <c r="C238">
        <v>1E-3</v>
      </c>
      <c r="D238">
        <v>4.7999999999999996E-3</v>
      </c>
      <c r="E238">
        <v>1782399</v>
      </c>
      <c r="F238">
        <v>81591</v>
      </c>
      <c r="G238" t="s">
        <v>145</v>
      </c>
      <c r="H238">
        <v>1820000000</v>
      </c>
      <c r="I238" t="str">
        <f t="shared" si="3"/>
        <v>$0-$50</v>
      </c>
    </row>
    <row r="239" spans="1:9" x14ac:dyDescent="0.35">
      <c r="A239" t="s">
        <v>488</v>
      </c>
      <c r="B239" t="s">
        <v>489</v>
      </c>
      <c r="C239">
        <v>1.26</v>
      </c>
      <c r="D239">
        <v>2.0000000000000001E-4</v>
      </c>
      <c r="E239">
        <v>1774937</v>
      </c>
      <c r="F239">
        <v>66401</v>
      </c>
      <c r="G239" t="s">
        <v>145</v>
      </c>
      <c r="H239">
        <v>1400000</v>
      </c>
      <c r="I239" t="str">
        <f t="shared" si="3"/>
        <v>$0-$50</v>
      </c>
    </row>
    <row r="240" spans="1:9" x14ac:dyDescent="0.35">
      <c r="A240" t="s">
        <v>129</v>
      </c>
      <c r="B240" t="s">
        <v>130</v>
      </c>
      <c r="C240">
        <v>6.6E-3</v>
      </c>
      <c r="D240">
        <v>1.24E-2</v>
      </c>
      <c r="E240">
        <v>1768062</v>
      </c>
      <c r="F240">
        <v>119060</v>
      </c>
      <c r="G240" t="s">
        <v>145</v>
      </c>
      <c r="H240">
        <v>266769999.99999997</v>
      </c>
      <c r="I240" t="str">
        <f t="shared" si="3"/>
        <v>$0-$50</v>
      </c>
    </row>
    <row r="241" spans="1:9" x14ac:dyDescent="0.35">
      <c r="A241" t="s">
        <v>490</v>
      </c>
      <c r="B241" t="s">
        <v>491</v>
      </c>
      <c r="C241">
        <v>8.1799999999999998E-2</v>
      </c>
      <c r="D241">
        <v>2.0000000000000001E-4</v>
      </c>
      <c r="E241">
        <v>1764315</v>
      </c>
      <c r="F241">
        <v>115914</v>
      </c>
      <c r="G241" t="s">
        <v>145</v>
      </c>
      <c r="H241">
        <v>960420000000000</v>
      </c>
      <c r="I241" t="str">
        <f t="shared" si="3"/>
        <v>$0-$50</v>
      </c>
    </row>
    <row r="242" spans="1:9" x14ac:dyDescent="0.35">
      <c r="A242" t="s">
        <v>492</v>
      </c>
      <c r="B242" t="s">
        <v>493</v>
      </c>
      <c r="C242">
        <v>1013.86</v>
      </c>
      <c r="D242">
        <v>0</v>
      </c>
      <c r="E242">
        <v>1763126</v>
      </c>
      <c r="F242">
        <v>821507</v>
      </c>
      <c r="G242" t="s">
        <v>145</v>
      </c>
      <c r="H242">
        <v>1730</v>
      </c>
      <c r="I242" t="str">
        <f t="shared" si="3"/>
        <v>Above $50</v>
      </c>
    </row>
    <row r="243" spans="1:9" x14ac:dyDescent="0.35">
      <c r="A243" t="s">
        <v>127</v>
      </c>
      <c r="B243" t="s">
        <v>128</v>
      </c>
      <c r="C243">
        <v>5.0000000000000001E-3</v>
      </c>
      <c r="D243">
        <v>5.7000000000000002E-3</v>
      </c>
      <c r="E243">
        <v>1760912</v>
      </c>
      <c r="F243">
        <v>1784545</v>
      </c>
      <c r="G243" t="s">
        <v>145</v>
      </c>
      <c r="H243">
        <v>351230000</v>
      </c>
      <c r="I243" t="str">
        <f t="shared" si="3"/>
        <v>$0-$50</v>
      </c>
    </row>
    <row r="244" spans="1:9" x14ac:dyDescent="0.35">
      <c r="A244" t="s">
        <v>494</v>
      </c>
      <c r="B244" t="s">
        <v>495</v>
      </c>
      <c r="C244">
        <v>1094.1099999999999</v>
      </c>
      <c r="D244">
        <v>1E-4</v>
      </c>
      <c r="E244">
        <v>1760374</v>
      </c>
      <c r="F244">
        <v>736049</v>
      </c>
      <c r="G244" t="s">
        <v>145</v>
      </c>
      <c r="H244">
        <v>1600</v>
      </c>
      <c r="I244" t="str">
        <f t="shared" si="3"/>
        <v>Above $50</v>
      </c>
    </row>
    <row r="245" spans="1:9" x14ac:dyDescent="0.35">
      <c r="A245" t="s">
        <v>496</v>
      </c>
      <c r="B245" t="s">
        <v>497</v>
      </c>
      <c r="C245">
        <v>5.9999999999999995E-4</v>
      </c>
      <c r="D245">
        <v>2.0999999999999999E-3</v>
      </c>
      <c r="E245">
        <v>1491710</v>
      </c>
      <c r="F245">
        <v>188215</v>
      </c>
      <c r="G245" t="s">
        <v>145</v>
      </c>
      <c r="H245">
        <v>2500000000</v>
      </c>
      <c r="I245" t="str">
        <f t="shared" si="3"/>
        <v>$0-$50</v>
      </c>
    </row>
    <row r="246" spans="1:9" x14ac:dyDescent="0.35">
      <c r="A246" t="s">
        <v>498</v>
      </c>
      <c r="B246" t="s">
        <v>499</v>
      </c>
      <c r="C246">
        <v>121.03</v>
      </c>
      <c r="D246">
        <v>0</v>
      </c>
      <c r="E246">
        <v>1487510</v>
      </c>
      <c r="F246">
        <v>775875</v>
      </c>
      <c r="G246" t="s">
        <v>145</v>
      </c>
      <c r="H246">
        <v>12290</v>
      </c>
      <c r="I246" t="str">
        <f t="shared" si="3"/>
        <v>Above $50</v>
      </c>
    </row>
    <row r="247" spans="1:9" x14ac:dyDescent="0.35">
      <c r="A247" t="s">
        <v>500</v>
      </c>
      <c r="B247" t="s">
        <v>501</v>
      </c>
      <c r="C247">
        <v>5.3E-3</v>
      </c>
      <c r="D247">
        <v>1.1000000000000001E-3</v>
      </c>
      <c r="E247">
        <v>1482423</v>
      </c>
      <c r="F247">
        <v>466345</v>
      </c>
      <c r="G247" t="s">
        <v>145</v>
      </c>
      <c r="H247">
        <v>280000000</v>
      </c>
      <c r="I247" t="str">
        <f t="shared" si="3"/>
        <v>$0-$50</v>
      </c>
    </row>
    <row r="248" spans="1:9" x14ac:dyDescent="0.35">
      <c r="A248" t="s">
        <v>502</v>
      </c>
      <c r="B248" t="s">
        <v>502</v>
      </c>
      <c r="C248">
        <v>1.6000000000000001E-3</v>
      </c>
      <c r="D248">
        <v>5.4000000000000003E-3</v>
      </c>
      <c r="E248">
        <v>1481390</v>
      </c>
      <c r="F248">
        <v>838166</v>
      </c>
      <c r="G248" t="s">
        <v>145</v>
      </c>
      <c r="H248">
        <v>899840000</v>
      </c>
      <c r="I248" t="str">
        <f t="shared" si="3"/>
        <v>$0-$50</v>
      </c>
    </row>
    <row r="249" spans="1:9" x14ac:dyDescent="0.35">
      <c r="A249" t="s">
        <v>131</v>
      </c>
      <c r="B249" t="s">
        <v>132</v>
      </c>
      <c r="C249">
        <v>1.5E-3</v>
      </c>
      <c r="D249">
        <v>1.41E-2</v>
      </c>
      <c r="E249">
        <v>1477054</v>
      </c>
      <c r="F249">
        <v>1398</v>
      </c>
      <c r="G249" t="s">
        <v>145</v>
      </c>
      <c r="H249">
        <v>1000000000</v>
      </c>
      <c r="I249" t="str">
        <f t="shared" si="3"/>
        <v>$0-$50</v>
      </c>
    </row>
    <row r="250" spans="1:9" x14ac:dyDescent="0.35">
      <c r="A250" t="s">
        <v>503</v>
      </c>
      <c r="B250" t="s">
        <v>503</v>
      </c>
      <c r="C250">
        <v>1E-3</v>
      </c>
      <c r="D250">
        <v>2.5999999999999999E-3</v>
      </c>
      <c r="E250">
        <v>1472643</v>
      </c>
      <c r="F250">
        <v>290891</v>
      </c>
      <c r="G250" t="s">
        <v>145</v>
      </c>
      <c r="H250">
        <v>1420000000</v>
      </c>
      <c r="I250" t="str">
        <f t="shared" si="3"/>
        <v>$0-$50</v>
      </c>
    </row>
    <row r="251" spans="1:9" x14ac:dyDescent="0.35">
      <c r="A251" t="s">
        <v>135</v>
      </c>
      <c r="B251" t="s">
        <v>136</v>
      </c>
      <c r="C251">
        <v>2.9999999999999997E-4</v>
      </c>
      <c r="D251">
        <v>5.8400000000000001E-2</v>
      </c>
      <c r="E251">
        <v>1498720</v>
      </c>
      <c r="F251">
        <v>2985093</v>
      </c>
      <c r="G251" t="s">
        <v>145</v>
      </c>
      <c r="H251">
        <v>4570000000</v>
      </c>
      <c r="I251" t="str">
        <f t="shared" si="3"/>
        <v>$0-$50</v>
      </c>
    </row>
    <row r="252" spans="1:9" x14ac:dyDescent="0.35">
      <c r="A252" t="s">
        <v>504</v>
      </c>
      <c r="B252" t="s">
        <v>505</v>
      </c>
      <c r="C252">
        <v>0.14000000000000001</v>
      </c>
      <c r="D252">
        <v>4.4999999999999997E-3</v>
      </c>
      <c r="E252">
        <v>1470106</v>
      </c>
      <c r="F252">
        <v>190009</v>
      </c>
      <c r="G252" t="s">
        <v>144</v>
      </c>
      <c r="H252">
        <v>10490000</v>
      </c>
      <c r="I252" t="str">
        <f t="shared" si="3"/>
        <v>$0-$50</v>
      </c>
    </row>
    <row r="253" spans="1:9" x14ac:dyDescent="0.35">
      <c r="A253" t="s">
        <v>506</v>
      </c>
      <c r="B253" t="s">
        <v>507</v>
      </c>
      <c r="C253">
        <v>1.5E-3</v>
      </c>
      <c r="D253">
        <v>2.0999999999999999E-3</v>
      </c>
      <c r="E253">
        <v>1469571</v>
      </c>
      <c r="F253">
        <v>425763</v>
      </c>
      <c r="G253" t="s">
        <v>144</v>
      </c>
      <c r="H253">
        <v>1000000000</v>
      </c>
      <c r="I253" t="str">
        <f t="shared" si="3"/>
        <v>$0-$50</v>
      </c>
    </row>
    <row r="254" spans="1:9" x14ac:dyDescent="0.35">
      <c r="A254" t="s">
        <v>508</v>
      </c>
      <c r="B254" t="s">
        <v>509</v>
      </c>
      <c r="C254">
        <v>1.1999999999999999E-3</v>
      </c>
      <c r="D254">
        <v>1.6999999999999999E-3</v>
      </c>
      <c r="E254">
        <v>1466425</v>
      </c>
      <c r="F254">
        <v>1731</v>
      </c>
      <c r="G254" t="s">
        <v>145</v>
      </c>
      <c r="H254">
        <v>1190000000</v>
      </c>
      <c r="I254" t="str">
        <f t="shared" si="3"/>
        <v>$0-$50</v>
      </c>
    </row>
    <row r="255" spans="1:9" x14ac:dyDescent="0.35">
      <c r="A255" t="s">
        <v>510</v>
      </c>
      <c r="B255" t="s">
        <v>510</v>
      </c>
      <c r="C255">
        <v>5.8999999999999999E-3</v>
      </c>
      <c r="D255">
        <v>2.7000000000000001E-3</v>
      </c>
      <c r="E255">
        <v>1460651</v>
      </c>
      <c r="F255">
        <v>6219371</v>
      </c>
      <c r="G255" t="s">
        <v>145</v>
      </c>
      <c r="H255">
        <v>247500000</v>
      </c>
      <c r="I255" t="str">
        <f t="shared" si="3"/>
        <v>$0-$50</v>
      </c>
    </row>
    <row r="256" spans="1:9" x14ac:dyDescent="0.35">
      <c r="A256" t="s">
        <v>511</v>
      </c>
      <c r="B256" t="s">
        <v>512</v>
      </c>
      <c r="C256">
        <v>1.5E-3</v>
      </c>
      <c r="D256">
        <v>0</v>
      </c>
      <c r="E256">
        <v>1459321</v>
      </c>
      <c r="F256">
        <v>21459</v>
      </c>
      <c r="G256" t="s">
        <v>144</v>
      </c>
      <c r="H256">
        <v>999920000</v>
      </c>
      <c r="I256" t="str">
        <f t="shared" si="3"/>
        <v>$0-$50</v>
      </c>
    </row>
    <row r="257" spans="1:9" x14ac:dyDescent="0.35">
      <c r="A257" t="s">
        <v>513</v>
      </c>
      <c r="B257" t="s">
        <v>514</v>
      </c>
      <c r="C257">
        <v>1.5E-3</v>
      </c>
      <c r="D257">
        <v>2.41E-2</v>
      </c>
      <c r="E257">
        <v>1458904</v>
      </c>
      <c r="F257">
        <v>6471</v>
      </c>
      <c r="G257" t="s">
        <v>145</v>
      </c>
      <c r="H257">
        <v>1000000000</v>
      </c>
      <c r="I257" t="str">
        <f t="shared" si="3"/>
        <v>$0-$50</v>
      </c>
    </row>
    <row r="258" spans="1:9" x14ac:dyDescent="0.35">
      <c r="A258" t="s">
        <v>515</v>
      </c>
      <c r="B258" t="s">
        <v>516</v>
      </c>
      <c r="C258">
        <v>4.1999999999999997E-3</v>
      </c>
      <c r="D258">
        <v>4.3E-3</v>
      </c>
      <c r="E258">
        <v>1207576</v>
      </c>
      <c r="F258">
        <v>80143</v>
      </c>
      <c r="G258" t="s">
        <v>145</v>
      </c>
      <c r="H258">
        <v>287730000</v>
      </c>
      <c r="I258" t="str">
        <f t="shared" ref="I258:I283" si="4">IF(C258&lt;=50,"$0-$50","Above $50")</f>
        <v>$0-$50</v>
      </c>
    </row>
    <row r="259" spans="1:9" x14ac:dyDescent="0.35">
      <c r="A259" t="s">
        <v>517</v>
      </c>
      <c r="B259" t="s">
        <v>518</v>
      </c>
      <c r="C259">
        <v>1.4E-3</v>
      </c>
      <c r="D259">
        <v>1.6999999999999999E-3</v>
      </c>
      <c r="E259">
        <v>1199325</v>
      </c>
      <c r="F259">
        <v>1885566</v>
      </c>
      <c r="G259" t="s">
        <v>145</v>
      </c>
      <c r="H259">
        <v>853380000</v>
      </c>
      <c r="I259" t="str">
        <f t="shared" si="4"/>
        <v>$0-$50</v>
      </c>
    </row>
    <row r="260" spans="1:9" x14ac:dyDescent="0.35">
      <c r="A260" t="s">
        <v>519</v>
      </c>
      <c r="B260" t="s">
        <v>24</v>
      </c>
      <c r="C260">
        <v>1.1999999999999999E-3</v>
      </c>
      <c r="D260">
        <v>2.0999999999999999E-3</v>
      </c>
      <c r="E260">
        <v>1198549</v>
      </c>
      <c r="F260">
        <v>448798</v>
      </c>
      <c r="G260" t="s">
        <v>145</v>
      </c>
      <c r="H260">
        <v>979110000</v>
      </c>
      <c r="I260" t="str">
        <f t="shared" si="4"/>
        <v>$0-$50</v>
      </c>
    </row>
    <row r="261" spans="1:9" x14ac:dyDescent="0.35">
      <c r="A261" t="s">
        <v>520</v>
      </c>
      <c r="B261" t="s">
        <v>521</v>
      </c>
      <c r="C261">
        <v>185.64</v>
      </c>
      <c r="D261">
        <v>2.7000000000000001E-3</v>
      </c>
      <c r="E261">
        <v>1201141</v>
      </c>
      <c r="F261">
        <v>1194229</v>
      </c>
      <c r="G261" t="s">
        <v>145</v>
      </c>
      <c r="H261">
        <v>6470</v>
      </c>
      <c r="I261" t="str">
        <f t="shared" si="4"/>
        <v>Above $50</v>
      </c>
    </row>
    <row r="262" spans="1:9" x14ac:dyDescent="0.35">
      <c r="A262" t="s">
        <v>522</v>
      </c>
      <c r="B262" t="s">
        <v>523</v>
      </c>
      <c r="C262">
        <v>175.86</v>
      </c>
      <c r="D262">
        <v>4.0000000000000002E-4</v>
      </c>
      <c r="E262">
        <v>1199600</v>
      </c>
      <c r="F262">
        <v>2078773</v>
      </c>
      <c r="G262" t="s">
        <v>145</v>
      </c>
      <c r="H262">
        <v>6820</v>
      </c>
      <c r="I262" t="str">
        <f t="shared" si="4"/>
        <v>Above $50</v>
      </c>
    </row>
    <row r="263" spans="1:9" x14ac:dyDescent="0.35">
      <c r="A263" t="s">
        <v>524</v>
      </c>
      <c r="B263" t="s">
        <v>525</v>
      </c>
      <c r="C263">
        <v>5.8999999999999999E-3</v>
      </c>
      <c r="D263">
        <v>6.6E-3</v>
      </c>
      <c r="E263">
        <v>1199080</v>
      </c>
      <c r="F263">
        <v>128970</v>
      </c>
      <c r="G263" t="s">
        <v>145</v>
      </c>
      <c r="H263">
        <v>204590000</v>
      </c>
      <c r="I263" t="str">
        <f t="shared" si="4"/>
        <v>$0-$50</v>
      </c>
    </row>
    <row r="264" spans="1:9" x14ac:dyDescent="0.35">
      <c r="A264" t="s">
        <v>526</v>
      </c>
      <c r="B264" t="s">
        <v>527</v>
      </c>
      <c r="C264">
        <v>2.8E-3</v>
      </c>
      <c r="D264">
        <v>1.54E-2</v>
      </c>
      <c r="E264">
        <v>1205707</v>
      </c>
      <c r="F264">
        <v>72427</v>
      </c>
      <c r="G264" t="s">
        <v>145</v>
      </c>
      <c r="H264">
        <v>429810000</v>
      </c>
      <c r="I264" t="str">
        <f t="shared" si="4"/>
        <v>$0-$50</v>
      </c>
    </row>
    <row r="265" spans="1:9" x14ac:dyDescent="0.35">
      <c r="A265" t="s">
        <v>528</v>
      </c>
      <c r="B265" t="s">
        <v>529</v>
      </c>
      <c r="C265">
        <v>0</v>
      </c>
      <c r="D265">
        <v>4.0000000000000001E-3</v>
      </c>
      <c r="E265">
        <v>1201464</v>
      </c>
      <c r="F265">
        <v>81028</v>
      </c>
      <c r="G265" t="s">
        <v>145</v>
      </c>
      <c r="H265">
        <v>84560000000</v>
      </c>
      <c r="I265" t="str">
        <f t="shared" si="4"/>
        <v>$0-$50</v>
      </c>
    </row>
    <row r="266" spans="1:9" x14ac:dyDescent="0.35">
      <c r="A266" t="s">
        <v>530</v>
      </c>
      <c r="B266" t="s">
        <v>531</v>
      </c>
      <c r="C266">
        <v>1.0800000000000001E-2</v>
      </c>
      <c r="D266">
        <v>2.0000000000000001E-4</v>
      </c>
      <c r="E266">
        <v>1198250</v>
      </c>
      <c r="F266">
        <v>110464</v>
      </c>
      <c r="G266" t="s">
        <v>145</v>
      </c>
      <c r="H266">
        <v>110370000</v>
      </c>
      <c r="I266" t="str">
        <f t="shared" si="4"/>
        <v>$0-$50</v>
      </c>
    </row>
    <row r="267" spans="1:9" x14ac:dyDescent="0.35">
      <c r="A267" t="s">
        <v>532</v>
      </c>
      <c r="B267" t="s">
        <v>533</v>
      </c>
      <c r="C267">
        <v>5.4000000000000003E-3</v>
      </c>
      <c r="D267">
        <v>7.6E-3</v>
      </c>
      <c r="E267">
        <v>1193409</v>
      </c>
      <c r="F267">
        <v>2950</v>
      </c>
      <c r="G267" t="s">
        <v>144</v>
      </c>
      <c r="H267">
        <v>220000000</v>
      </c>
      <c r="I267" t="str">
        <f t="shared" si="4"/>
        <v>$0-$50</v>
      </c>
    </row>
    <row r="268" spans="1:9" x14ac:dyDescent="0.35">
      <c r="A268" t="s">
        <v>137</v>
      </c>
      <c r="B268" t="s">
        <v>138</v>
      </c>
      <c r="C268">
        <v>29.9</v>
      </c>
      <c r="D268">
        <v>1.5E-3</v>
      </c>
      <c r="E268">
        <v>1186586</v>
      </c>
      <c r="F268">
        <v>828027</v>
      </c>
      <c r="G268" t="s">
        <v>144</v>
      </c>
      <c r="H268">
        <v>39680</v>
      </c>
      <c r="I268" t="str">
        <f t="shared" si="4"/>
        <v>$0-$50</v>
      </c>
    </row>
    <row r="269" spans="1:9" x14ac:dyDescent="0.35">
      <c r="A269" t="s">
        <v>133</v>
      </c>
      <c r="B269" t="s">
        <v>134</v>
      </c>
      <c r="C269">
        <v>1.1999999999999999E-3</v>
      </c>
      <c r="D269">
        <v>3.4700000000000002E-2</v>
      </c>
      <c r="E269">
        <v>1205156</v>
      </c>
      <c r="F269">
        <v>498762</v>
      </c>
      <c r="G269" t="s">
        <v>144</v>
      </c>
      <c r="H269">
        <v>992240000</v>
      </c>
      <c r="I269" t="str">
        <f t="shared" si="4"/>
        <v>$0-$50</v>
      </c>
    </row>
    <row r="270" spans="1:9" x14ac:dyDescent="0.35">
      <c r="A270" t="s">
        <v>534</v>
      </c>
      <c r="B270" t="s">
        <v>535</v>
      </c>
      <c r="C270">
        <v>132.88</v>
      </c>
      <c r="D270">
        <v>2.5000000000000001E-3</v>
      </c>
      <c r="E270">
        <v>1177696</v>
      </c>
      <c r="F270">
        <v>826410</v>
      </c>
      <c r="G270" t="s">
        <v>145</v>
      </c>
      <c r="H270">
        <v>8860</v>
      </c>
      <c r="I270" t="str">
        <f t="shared" si="4"/>
        <v>Above $50</v>
      </c>
    </row>
    <row r="271" spans="1:9" x14ac:dyDescent="0.35">
      <c r="A271" t="s">
        <v>536</v>
      </c>
      <c r="B271" t="s">
        <v>537</v>
      </c>
      <c r="C271">
        <v>2.9999999999999997E-4</v>
      </c>
      <c r="D271">
        <v>1.6199999999999999E-2</v>
      </c>
      <c r="E271">
        <v>1175672</v>
      </c>
      <c r="F271">
        <v>195191</v>
      </c>
      <c r="G271" t="s">
        <v>144</v>
      </c>
      <c r="H271">
        <v>3610000000</v>
      </c>
      <c r="I271" t="str">
        <f t="shared" si="4"/>
        <v>$0-$50</v>
      </c>
    </row>
    <row r="272" spans="1:9" x14ac:dyDescent="0.35">
      <c r="A272" t="s">
        <v>538</v>
      </c>
      <c r="B272" t="s">
        <v>539</v>
      </c>
      <c r="C272">
        <v>1.4200000000000001E-2</v>
      </c>
      <c r="D272">
        <v>1.6799999999999999E-2</v>
      </c>
      <c r="E272">
        <v>1172258</v>
      </c>
      <c r="F272">
        <v>10037</v>
      </c>
      <c r="G272" t="s">
        <v>144</v>
      </c>
      <c r="H272">
        <v>82640000</v>
      </c>
      <c r="I272" t="str">
        <f t="shared" si="4"/>
        <v>$0-$50</v>
      </c>
    </row>
    <row r="273" spans="1:9" x14ac:dyDescent="0.35">
      <c r="A273" t="s">
        <v>540</v>
      </c>
      <c r="B273" t="s">
        <v>541</v>
      </c>
      <c r="C273">
        <v>2.9999999999999997E-4</v>
      </c>
      <c r="D273">
        <v>4.3E-3</v>
      </c>
      <c r="E273">
        <v>972646</v>
      </c>
      <c r="F273">
        <v>1749</v>
      </c>
      <c r="G273" t="s">
        <v>144</v>
      </c>
      <c r="H273">
        <v>3340000000</v>
      </c>
      <c r="I273" t="str">
        <f t="shared" si="4"/>
        <v>$0-$50</v>
      </c>
    </row>
    <row r="274" spans="1:9" x14ac:dyDescent="0.35">
      <c r="A274" t="s">
        <v>141</v>
      </c>
      <c r="B274" t="s">
        <v>142</v>
      </c>
      <c r="C274">
        <v>1E-3</v>
      </c>
      <c r="D274">
        <v>3.8999999999999998E-3</v>
      </c>
      <c r="E274">
        <v>970789</v>
      </c>
      <c r="F274">
        <v>17169</v>
      </c>
      <c r="G274" t="s">
        <v>144</v>
      </c>
      <c r="H274">
        <v>999720000</v>
      </c>
      <c r="I274" t="str">
        <f t="shared" si="4"/>
        <v>$0-$50</v>
      </c>
    </row>
    <row r="275" spans="1:9" x14ac:dyDescent="0.35">
      <c r="A275" t="s">
        <v>542</v>
      </c>
      <c r="B275" t="s">
        <v>543</v>
      </c>
      <c r="C275">
        <v>1E-4</v>
      </c>
      <c r="D275">
        <v>2.9999999999999997E-4</v>
      </c>
      <c r="E275">
        <v>969523</v>
      </c>
      <c r="F275">
        <v>158921</v>
      </c>
      <c r="G275" t="s">
        <v>144</v>
      </c>
      <c r="H275">
        <v>12140000000</v>
      </c>
      <c r="I275" t="str">
        <f t="shared" si="4"/>
        <v>$0-$50</v>
      </c>
    </row>
    <row r="276" spans="1:9" x14ac:dyDescent="0.35">
      <c r="A276" t="s">
        <v>544</v>
      </c>
      <c r="B276" t="s">
        <v>544</v>
      </c>
      <c r="C276">
        <v>1.1000000000000001E-3</v>
      </c>
      <c r="D276">
        <v>0.31359999999999999</v>
      </c>
      <c r="E276">
        <v>969081</v>
      </c>
      <c r="F276">
        <v>75946</v>
      </c>
      <c r="G276" t="s">
        <v>144</v>
      </c>
      <c r="H276">
        <v>864090000</v>
      </c>
      <c r="I276" t="str">
        <f t="shared" si="4"/>
        <v>$0-$50</v>
      </c>
    </row>
    <row r="277" spans="1:9" x14ac:dyDescent="0.35">
      <c r="A277" t="s">
        <v>140</v>
      </c>
      <c r="B277" t="s">
        <v>140</v>
      </c>
      <c r="C277">
        <v>1E-3</v>
      </c>
      <c r="D277">
        <v>3.8399999999999997E-2</v>
      </c>
      <c r="E277">
        <v>975625</v>
      </c>
      <c r="F277">
        <v>931081</v>
      </c>
      <c r="G277" t="s">
        <v>144</v>
      </c>
      <c r="H277">
        <v>1000000000</v>
      </c>
      <c r="I277" t="str">
        <f t="shared" si="4"/>
        <v>$0-$50</v>
      </c>
    </row>
    <row r="278" spans="1:9" x14ac:dyDescent="0.35">
      <c r="A278" t="s">
        <v>545</v>
      </c>
      <c r="B278" t="s">
        <v>546</v>
      </c>
      <c r="C278">
        <v>7.9600000000000004E-2</v>
      </c>
      <c r="D278">
        <v>9.5999999999999992E-3</v>
      </c>
      <c r="E278">
        <v>961236</v>
      </c>
      <c r="F278">
        <v>3285</v>
      </c>
      <c r="G278" t="s">
        <v>144</v>
      </c>
      <c r="H278">
        <v>9970000000000</v>
      </c>
      <c r="I278" t="str">
        <f t="shared" si="4"/>
        <v>$0-$50</v>
      </c>
    </row>
    <row r="279" spans="1:9" x14ac:dyDescent="0.35">
      <c r="A279" t="s">
        <v>547</v>
      </c>
      <c r="B279" t="s">
        <v>548</v>
      </c>
      <c r="C279">
        <v>8.0000000000000004E-4</v>
      </c>
      <c r="D279">
        <v>3.3999999999999998E-3</v>
      </c>
      <c r="E279">
        <v>958689</v>
      </c>
      <c r="F279">
        <v>219377</v>
      </c>
      <c r="G279" t="s">
        <v>144</v>
      </c>
      <c r="H279">
        <v>1260000000</v>
      </c>
      <c r="I279" t="str">
        <f t="shared" si="4"/>
        <v>$0-$50</v>
      </c>
    </row>
    <row r="280" spans="1:9" x14ac:dyDescent="0.35">
      <c r="A280" t="s">
        <v>549</v>
      </c>
      <c r="B280" t="s">
        <v>550</v>
      </c>
      <c r="C280">
        <v>1.9E-3</v>
      </c>
      <c r="D280">
        <v>1.8E-3</v>
      </c>
      <c r="E280">
        <v>958512</v>
      </c>
      <c r="F280">
        <v>79241</v>
      </c>
      <c r="G280" t="s">
        <v>144</v>
      </c>
      <c r="H280">
        <v>504080000</v>
      </c>
      <c r="I280" t="str">
        <f t="shared" si="4"/>
        <v>$0-$50</v>
      </c>
    </row>
    <row r="281" spans="1:9" x14ac:dyDescent="0.35">
      <c r="A281" t="s">
        <v>551</v>
      </c>
      <c r="B281" t="s">
        <v>552</v>
      </c>
      <c r="C281">
        <v>20.47</v>
      </c>
      <c r="D281">
        <v>0</v>
      </c>
      <c r="E281">
        <v>954786</v>
      </c>
      <c r="F281">
        <v>240</v>
      </c>
      <c r="G281" t="s">
        <v>144</v>
      </c>
      <c r="H281">
        <v>46640</v>
      </c>
      <c r="I281" t="str">
        <f t="shared" si="4"/>
        <v>$0-$50</v>
      </c>
    </row>
    <row r="282" spans="1:9" x14ac:dyDescent="0.35">
      <c r="A282" t="s">
        <v>553</v>
      </c>
      <c r="B282" t="s">
        <v>554</v>
      </c>
      <c r="C282">
        <v>1.06E-2</v>
      </c>
      <c r="D282">
        <v>2.8E-3</v>
      </c>
      <c r="E282">
        <v>952933</v>
      </c>
      <c r="F282">
        <v>253285</v>
      </c>
      <c r="G282" t="s">
        <v>144</v>
      </c>
      <c r="H282">
        <v>90230000</v>
      </c>
      <c r="I282" t="str">
        <f t="shared" si="4"/>
        <v>$0-$50</v>
      </c>
    </row>
    <row r="283" spans="1:9" x14ac:dyDescent="0.35">
      <c r="A283" t="s">
        <v>555</v>
      </c>
      <c r="B283" t="s">
        <v>556</v>
      </c>
      <c r="C283">
        <v>93.97</v>
      </c>
      <c r="D283">
        <v>1E-4</v>
      </c>
      <c r="E283">
        <v>949515</v>
      </c>
      <c r="F283">
        <v>317545</v>
      </c>
      <c r="G283" t="s">
        <v>144</v>
      </c>
      <c r="H283">
        <v>10100</v>
      </c>
      <c r="I283" t="str">
        <f t="shared" si="4"/>
        <v>Above $50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65699-F1D3-4D0A-8F4E-FBE83E9DF31F}">
  <sheetPr codeName="Sheet12"/>
  <dimension ref="A1:L301"/>
  <sheetViews>
    <sheetView topLeftCell="A2" workbookViewId="0">
      <selection activeCell="I10" sqref="I10"/>
    </sheetView>
  </sheetViews>
  <sheetFormatPr defaultRowHeight="14.5" x14ac:dyDescent="0.35"/>
  <cols>
    <col min="1" max="1" width="53.453125" bestFit="1" customWidth="1"/>
    <col min="2" max="2" width="11.08984375" bestFit="1" customWidth="1"/>
    <col min="3" max="3" width="12.36328125" bestFit="1" customWidth="1"/>
    <col min="4" max="4" width="15" bestFit="1" customWidth="1"/>
    <col min="5" max="5" width="16.08984375" bestFit="1" customWidth="1"/>
    <col min="6" max="6" width="15" bestFit="1" customWidth="1"/>
    <col min="7" max="7" width="12.90625" bestFit="1" customWidth="1"/>
    <col min="8" max="9" width="11.81640625" bestFit="1" customWidth="1"/>
    <col min="10" max="10" width="19.81640625" bestFit="1" customWidth="1"/>
    <col min="11" max="12" width="12.7265625" bestFit="1" customWidth="1"/>
    <col min="13" max="13" width="11.90625" bestFit="1" customWidth="1"/>
  </cols>
  <sheetData>
    <row r="1" spans="1:12" x14ac:dyDescent="0.35">
      <c r="A1" t="s">
        <v>0</v>
      </c>
      <c r="B1" t="s">
        <v>1</v>
      </c>
      <c r="C1" t="s">
        <v>2</v>
      </c>
      <c r="D1" t="s">
        <v>3</v>
      </c>
      <c r="E1" t="s">
        <v>574</v>
      </c>
      <c r="F1" t="s">
        <v>575</v>
      </c>
      <c r="G1" t="s">
        <v>4</v>
      </c>
      <c r="H1" t="s">
        <v>919</v>
      </c>
      <c r="I1" t="s">
        <v>920</v>
      </c>
      <c r="J1" t="s">
        <v>927</v>
      </c>
      <c r="K1" t="s">
        <v>571</v>
      </c>
      <c r="L1" t="s">
        <v>921</v>
      </c>
    </row>
    <row r="2" spans="1:12" x14ac:dyDescent="0.35">
      <c r="A2" t="s">
        <v>6</v>
      </c>
      <c r="B2" t="s">
        <v>7</v>
      </c>
      <c r="C2">
        <v>127.72</v>
      </c>
      <c r="D2">
        <v>4.1000000000000003E-3</v>
      </c>
      <c r="E2">
        <v>1.61E-2</v>
      </c>
      <c r="F2">
        <v>0.13289999999999999</v>
      </c>
      <c r="G2">
        <v>13202575</v>
      </c>
      <c r="H2">
        <f t="shared" ref="H2:H65" si="0">C2/(1-E2)</f>
        <v>129.80994003455635</v>
      </c>
      <c r="I2">
        <f t="shared" ref="I2:I65" si="1">C2/(1+F2)</f>
        <v>112.7372230558743</v>
      </c>
      <c r="J2">
        <f t="shared" ref="J2:J65" si="2">AVERAGE(D2,E2,F2)</f>
        <v>5.1033333333333326E-2</v>
      </c>
      <c r="K2" t="str">
        <f t="shared" ref="K2:K65" si="3">IF(C2&lt;=0.05,"$0-$0.05",
IF(C2&lt;=0.5,"$0.05-$0.5",
IF(C2&lt;=5,"$0.5-$5",
IF(C2&lt;=50,"$5-$50",
"&gt;$50"))))</f>
        <v>&gt;$50</v>
      </c>
      <c r="L2" t="str">
        <f t="shared" ref="L2:L65" si="4">IF(AND(C2&gt;=0,C2&lt;=5),"0-5","Above 5")</f>
        <v>Above 5</v>
      </c>
    </row>
    <row r="3" spans="1:12" x14ac:dyDescent="0.35">
      <c r="A3" t="s">
        <v>8</v>
      </c>
      <c r="B3" t="s">
        <v>9</v>
      </c>
      <c r="C3">
        <v>63814.36</v>
      </c>
      <c r="D3">
        <v>9.7999999999999997E-3</v>
      </c>
      <c r="E3">
        <v>1.8800000000000001E-2</v>
      </c>
      <c r="F3">
        <v>0.1206</v>
      </c>
      <c r="G3">
        <v>1273215149892</v>
      </c>
      <c r="H3">
        <f t="shared" si="0"/>
        <v>65037.056665307791</v>
      </c>
      <c r="I3">
        <f t="shared" si="1"/>
        <v>56946.600035695163</v>
      </c>
      <c r="J3">
        <f t="shared" si="2"/>
        <v>4.9733333333333331E-2</v>
      </c>
      <c r="K3" t="str">
        <f t="shared" si="3"/>
        <v>&gt;$50</v>
      </c>
      <c r="L3" t="str">
        <f t="shared" si="4"/>
        <v>Above 5</v>
      </c>
    </row>
    <row r="4" spans="1:12" x14ac:dyDescent="0.35">
      <c r="A4" t="s">
        <v>10</v>
      </c>
      <c r="B4" t="s">
        <v>11</v>
      </c>
      <c r="C4">
        <v>1693.26</v>
      </c>
      <c r="D4">
        <v>1.47E-2</v>
      </c>
      <c r="E4">
        <v>3.8199999999999998E-2</v>
      </c>
      <c r="F4">
        <v>0.14549999999999999</v>
      </c>
      <c r="G4">
        <v>203355684748</v>
      </c>
      <c r="H4">
        <f t="shared" si="0"/>
        <v>1760.5115408608858</v>
      </c>
      <c r="I4">
        <f t="shared" si="1"/>
        <v>1478.1841990397206</v>
      </c>
      <c r="J4">
        <f t="shared" si="2"/>
        <v>6.6133333333333336E-2</v>
      </c>
      <c r="K4" t="str">
        <f t="shared" si="3"/>
        <v>&gt;$50</v>
      </c>
      <c r="L4" t="str">
        <f t="shared" si="4"/>
        <v>Above 5</v>
      </c>
    </row>
    <row r="5" spans="1:12" x14ac:dyDescent="0.35">
      <c r="A5" t="s">
        <v>12</v>
      </c>
      <c r="B5" t="s">
        <v>13</v>
      </c>
      <c r="C5">
        <v>0.99939999999999996</v>
      </c>
      <c r="D5">
        <v>2.0000000000000001E-4</v>
      </c>
      <c r="E5">
        <v>2.9999999999999997E-4</v>
      </c>
      <c r="F5">
        <v>5.9999999999999995E-4</v>
      </c>
      <c r="G5">
        <v>186861336606</v>
      </c>
      <c r="H5">
        <f t="shared" si="0"/>
        <v>0.99969990997299185</v>
      </c>
      <c r="I5">
        <f t="shared" si="1"/>
        <v>0.99880071956825911</v>
      </c>
      <c r="J5">
        <f t="shared" si="2"/>
        <v>3.6666666666666662E-4</v>
      </c>
      <c r="K5" t="str">
        <f t="shared" si="3"/>
        <v>$0.5-$5</v>
      </c>
      <c r="L5" t="str">
        <f t="shared" si="4"/>
        <v>0-5</v>
      </c>
    </row>
    <row r="6" spans="1:12" x14ac:dyDescent="0.35">
      <c r="A6" t="s">
        <v>14</v>
      </c>
      <c r="B6" t="s">
        <v>14</v>
      </c>
      <c r="C6">
        <v>602.91999999999996</v>
      </c>
      <c r="D6">
        <v>8.0999999999999996E-3</v>
      </c>
      <c r="E6">
        <v>1.5800000000000002E-2</v>
      </c>
      <c r="F6">
        <v>0.13739999999999999</v>
      </c>
      <c r="G6">
        <v>81123361095</v>
      </c>
      <c r="H6">
        <f t="shared" si="0"/>
        <v>612.59906523064421</v>
      </c>
      <c r="I6">
        <f t="shared" si="1"/>
        <v>530.08616142078426</v>
      </c>
      <c r="J6">
        <f t="shared" si="2"/>
        <v>5.3766666666666664E-2</v>
      </c>
      <c r="K6" t="str">
        <f t="shared" si="3"/>
        <v>&gt;$50</v>
      </c>
      <c r="L6" t="str">
        <f t="shared" si="4"/>
        <v>Above 5</v>
      </c>
    </row>
    <row r="7" spans="1:12" x14ac:dyDescent="0.35">
      <c r="A7" t="s">
        <v>16</v>
      </c>
      <c r="B7" t="s">
        <v>16</v>
      </c>
      <c r="C7">
        <v>0.99960000000000004</v>
      </c>
      <c r="D7">
        <v>0</v>
      </c>
      <c r="E7">
        <v>1E-4</v>
      </c>
      <c r="F7">
        <v>0</v>
      </c>
      <c r="G7">
        <v>75594434986</v>
      </c>
      <c r="H7">
        <f t="shared" si="0"/>
        <v>0.99969996999699973</v>
      </c>
      <c r="I7">
        <f t="shared" si="1"/>
        <v>0.99960000000000004</v>
      </c>
      <c r="J7">
        <f t="shared" si="2"/>
        <v>3.3333333333333335E-5</v>
      </c>
      <c r="K7" t="str">
        <f t="shared" si="3"/>
        <v>$0.5-$5</v>
      </c>
      <c r="L7" t="str">
        <f t="shared" si="4"/>
        <v>0-5</v>
      </c>
    </row>
    <row r="8" spans="1:12" x14ac:dyDescent="0.35">
      <c r="A8" t="s">
        <v>15</v>
      </c>
      <c r="B8" t="s">
        <v>15</v>
      </c>
      <c r="C8">
        <v>1.1499999999999999</v>
      </c>
      <c r="D8">
        <v>1.2200000000000001E-2</v>
      </c>
      <c r="E8">
        <v>2.06E-2</v>
      </c>
      <c r="F8">
        <v>0.111</v>
      </c>
      <c r="G8">
        <v>71961069533</v>
      </c>
      <c r="H8">
        <f t="shared" si="0"/>
        <v>1.1741882785378801</v>
      </c>
      <c r="I8">
        <f t="shared" si="1"/>
        <v>1.0351035103510351</v>
      </c>
      <c r="J8">
        <f t="shared" si="2"/>
        <v>4.7933333333333335E-2</v>
      </c>
      <c r="K8" t="str">
        <f t="shared" si="3"/>
        <v>$0.5-$5</v>
      </c>
      <c r="L8" t="str">
        <f t="shared" si="4"/>
        <v>0-5</v>
      </c>
    </row>
    <row r="9" spans="1:12" x14ac:dyDescent="0.35">
      <c r="A9" t="s">
        <v>17</v>
      </c>
      <c r="B9" t="s">
        <v>18</v>
      </c>
      <c r="C9">
        <v>66.77</v>
      </c>
      <c r="D9">
        <v>1.15E-2</v>
      </c>
      <c r="E9">
        <v>3.0700000000000002E-2</v>
      </c>
      <c r="F9">
        <v>0.17599999999999999</v>
      </c>
      <c r="G9">
        <v>38692194940</v>
      </c>
      <c r="H9">
        <f t="shared" si="0"/>
        <v>68.884762199525426</v>
      </c>
      <c r="I9">
        <f t="shared" si="1"/>
        <v>56.777210884353742</v>
      </c>
      <c r="J9">
        <f t="shared" si="2"/>
        <v>7.273333333333333E-2</v>
      </c>
      <c r="K9" t="str">
        <f t="shared" si="3"/>
        <v>&gt;$50</v>
      </c>
      <c r="L9" t="str">
        <f t="shared" si="4"/>
        <v>Above 5</v>
      </c>
    </row>
    <row r="10" spans="1:12" x14ac:dyDescent="0.35">
      <c r="A10" t="s">
        <v>19</v>
      </c>
      <c r="B10" t="s">
        <v>20</v>
      </c>
      <c r="C10">
        <v>0.32719999999999999</v>
      </c>
      <c r="D10">
        <v>3.0999999999999999E-3</v>
      </c>
      <c r="E10">
        <v>4.5999999999999999E-3</v>
      </c>
      <c r="F10">
        <v>6.5000000000000002E-2</v>
      </c>
      <c r="G10">
        <v>31027267864</v>
      </c>
      <c r="H10">
        <f t="shared" si="0"/>
        <v>0.32871207554751858</v>
      </c>
      <c r="I10">
        <f t="shared" si="1"/>
        <v>0.30723004694835682</v>
      </c>
      <c r="J10">
        <f t="shared" si="2"/>
        <v>2.4233333333333332E-2</v>
      </c>
      <c r="K10" t="str">
        <f t="shared" si="3"/>
        <v>$0.05-$0.5</v>
      </c>
      <c r="L10" t="str">
        <f t="shared" si="4"/>
        <v>0-5</v>
      </c>
    </row>
    <row r="11" spans="1:12" x14ac:dyDescent="0.35">
      <c r="A11" t="s">
        <v>21</v>
      </c>
      <c r="B11" t="s">
        <v>22</v>
      </c>
      <c r="C11">
        <v>62.03</v>
      </c>
      <c r="D11">
        <v>1.17E-2</v>
      </c>
      <c r="E11">
        <v>5.11E-2</v>
      </c>
      <c r="F11">
        <v>0.1555</v>
      </c>
      <c r="G11">
        <v>15743585217</v>
      </c>
      <c r="H11">
        <f t="shared" si="0"/>
        <v>65.37042891769417</v>
      </c>
      <c r="I11">
        <f t="shared" si="1"/>
        <v>53.682388576373867</v>
      </c>
      <c r="J11">
        <f t="shared" si="2"/>
        <v>7.276666666666666E-2</v>
      </c>
      <c r="K11" t="str">
        <f t="shared" si="3"/>
        <v>&gt;$50</v>
      </c>
      <c r="L11" t="str">
        <f t="shared" si="4"/>
        <v>Above 5</v>
      </c>
    </row>
    <row r="12" spans="1:12" x14ac:dyDescent="0.35">
      <c r="A12" t="s">
        <v>23</v>
      </c>
      <c r="B12" t="s">
        <v>24</v>
      </c>
      <c r="C12">
        <v>8.6400000000000005E-2</v>
      </c>
      <c r="D12">
        <v>1.06E-2</v>
      </c>
      <c r="E12">
        <v>2.3099999999999999E-2</v>
      </c>
      <c r="F12">
        <v>0.13550000000000001</v>
      </c>
      <c r="G12">
        <v>13360295911</v>
      </c>
      <c r="H12">
        <f t="shared" si="0"/>
        <v>8.8443034087419395E-2</v>
      </c>
      <c r="I12">
        <f t="shared" si="1"/>
        <v>7.6089828269484822E-2</v>
      </c>
      <c r="J12">
        <f t="shared" si="2"/>
        <v>5.6400000000000006E-2</v>
      </c>
      <c r="K12" t="str">
        <f t="shared" si="3"/>
        <v>$0.05-$0.5</v>
      </c>
      <c r="L12" t="str">
        <f t="shared" si="4"/>
        <v>0-5</v>
      </c>
    </row>
    <row r="13" spans="1:12" x14ac:dyDescent="0.35">
      <c r="A13" t="s">
        <v>27</v>
      </c>
      <c r="B13" t="s">
        <v>28</v>
      </c>
      <c r="C13">
        <v>9.5399999999999991</v>
      </c>
      <c r="D13">
        <v>1.03E-2</v>
      </c>
      <c r="E13">
        <v>1.2999999999999999E-3</v>
      </c>
      <c r="F13">
        <v>4.4600000000000001E-2</v>
      </c>
      <c r="G13">
        <v>8788747638</v>
      </c>
      <c r="H13">
        <f t="shared" si="0"/>
        <v>9.552418143586662</v>
      </c>
      <c r="I13">
        <f t="shared" si="1"/>
        <v>9.1326823664560592</v>
      </c>
      <c r="J13">
        <f t="shared" si="2"/>
        <v>1.8733333333333334E-2</v>
      </c>
      <c r="K13" t="str">
        <f t="shared" si="3"/>
        <v>$5-$50</v>
      </c>
      <c r="L13" t="str">
        <f t="shared" si="4"/>
        <v>Above 5</v>
      </c>
    </row>
    <row r="14" spans="1:12" x14ac:dyDescent="0.35">
      <c r="A14" t="s">
        <v>25</v>
      </c>
      <c r="B14" t="s">
        <v>26</v>
      </c>
      <c r="C14">
        <v>435.68</v>
      </c>
      <c r="D14">
        <v>2.07E-2</v>
      </c>
      <c r="E14">
        <v>6.9400000000000003E-2</v>
      </c>
      <c r="F14">
        <v>0.2021</v>
      </c>
      <c r="G14">
        <v>7279363302</v>
      </c>
      <c r="H14">
        <f t="shared" si="0"/>
        <v>468.17107242639162</v>
      </c>
      <c r="I14">
        <f t="shared" si="1"/>
        <v>362.43240994925549</v>
      </c>
      <c r="J14">
        <f t="shared" si="2"/>
        <v>9.74E-2</v>
      </c>
      <c r="K14" t="str">
        <f t="shared" si="3"/>
        <v>&gt;$50</v>
      </c>
      <c r="L14" t="str">
        <f t="shared" si="4"/>
        <v>Above 5</v>
      </c>
    </row>
    <row r="15" spans="1:12" x14ac:dyDescent="0.35">
      <c r="A15" t="s">
        <v>29</v>
      </c>
      <c r="B15" t="s">
        <v>30</v>
      </c>
      <c r="C15">
        <v>0.2021</v>
      </c>
      <c r="D15">
        <v>7.0000000000000001E-3</v>
      </c>
      <c r="E15">
        <v>1.7100000000000001E-2</v>
      </c>
      <c r="F15">
        <v>0.23039999999999999</v>
      </c>
      <c r="G15">
        <v>6817834354</v>
      </c>
      <c r="H15">
        <f t="shared" si="0"/>
        <v>0.2056160341845559</v>
      </c>
      <c r="I15">
        <f t="shared" si="1"/>
        <v>0.16425552665799742</v>
      </c>
      <c r="J15">
        <f t="shared" si="2"/>
        <v>8.483333333333333E-2</v>
      </c>
      <c r="K15" t="str">
        <f t="shared" si="3"/>
        <v>$0.05-$0.5</v>
      </c>
      <c r="L15" t="str">
        <f t="shared" si="4"/>
        <v>0-5</v>
      </c>
    </row>
    <row r="16" spans="1:12" x14ac:dyDescent="0.35">
      <c r="A16" t="s">
        <v>158</v>
      </c>
      <c r="B16" t="s">
        <v>159</v>
      </c>
      <c r="C16">
        <v>0.1565</v>
      </c>
      <c r="D16">
        <v>1.04E-2</v>
      </c>
      <c r="E16">
        <v>7.6799999999999993E-2</v>
      </c>
      <c r="F16">
        <v>1.2500000000000001E-2</v>
      </c>
      <c r="G16">
        <v>6065288369</v>
      </c>
      <c r="H16">
        <f t="shared" si="0"/>
        <v>0.16951906412478335</v>
      </c>
      <c r="I16">
        <f t="shared" si="1"/>
        <v>0.1545679012345679</v>
      </c>
      <c r="J16">
        <f t="shared" si="2"/>
        <v>3.323333333333333E-2</v>
      </c>
      <c r="K16" t="str">
        <f t="shared" si="3"/>
        <v>$0.05-$0.5</v>
      </c>
      <c r="L16" t="str">
        <f t="shared" si="4"/>
        <v>0-5</v>
      </c>
    </row>
    <row r="17" spans="1:12" x14ac:dyDescent="0.35">
      <c r="A17" t="s">
        <v>35</v>
      </c>
      <c r="B17" t="s">
        <v>36</v>
      </c>
      <c r="C17">
        <v>0.2016</v>
      </c>
      <c r="D17">
        <v>1.24E-2</v>
      </c>
      <c r="E17">
        <v>4.6800000000000001E-2</v>
      </c>
      <c r="F17">
        <v>5.4899999999999997E-2</v>
      </c>
      <c r="G17">
        <v>305477066</v>
      </c>
      <c r="H17">
        <f t="shared" si="0"/>
        <v>0.21149811162400334</v>
      </c>
      <c r="I17">
        <f t="shared" si="1"/>
        <v>0.19110816191108163</v>
      </c>
      <c r="J17">
        <f t="shared" si="2"/>
        <v>3.8033333333333336E-2</v>
      </c>
      <c r="K17" t="str">
        <f t="shared" si="3"/>
        <v>$0.05-$0.5</v>
      </c>
      <c r="L17" t="str">
        <f t="shared" si="4"/>
        <v>0-5</v>
      </c>
    </row>
    <row r="18" spans="1:12" x14ac:dyDescent="0.35">
      <c r="A18" t="s">
        <v>47</v>
      </c>
      <c r="B18" t="s">
        <v>48</v>
      </c>
      <c r="C18">
        <v>0.629</v>
      </c>
      <c r="D18">
        <v>1.2999999999999999E-2</v>
      </c>
      <c r="E18">
        <v>2.1899999999999999E-2</v>
      </c>
      <c r="F18">
        <v>0.16189999999999999</v>
      </c>
      <c r="G18">
        <v>302269689</v>
      </c>
      <c r="H18">
        <f t="shared" si="0"/>
        <v>0.64308352929148349</v>
      </c>
      <c r="I18">
        <f t="shared" si="1"/>
        <v>0.5413546776831053</v>
      </c>
      <c r="J18">
        <f t="shared" si="2"/>
        <v>6.5599999999999992E-2</v>
      </c>
      <c r="K18" t="str">
        <f t="shared" si="3"/>
        <v>$0.5-$5</v>
      </c>
      <c r="L18" t="str">
        <f t="shared" si="4"/>
        <v>0-5</v>
      </c>
    </row>
    <row r="19" spans="1:12" x14ac:dyDescent="0.35">
      <c r="A19" t="s">
        <v>160</v>
      </c>
      <c r="B19" t="s">
        <v>161</v>
      </c>
      <c r="C19">
        <v>0.3241</v>
      </c>
      <c r="D19">
        <v>2.1399999999999999E-2</v>
      </c>
      <c r="E19">
        <v>2.2200000000000001E-2</v>
      </c>
      <c r="F19">
        <v>0.16739999999999999</v>
      </c>
      <c r="G19">
        <v>298190270</v>
      </c>
      <c r="H19">
        <f t="shared" si="0"/>
        <v>0.33145837594600125</v>
      </c>
      <c r="I19">
        <f t="shared" si="1"/>
        <v>0.27762549254754154</v>
      </c>
      <c r="J19">
        <f t="shared" si="2"/>
        <v>7.0333333333333331E-2</v>
      </c>
      <c r="K19" t="str">
        <f t="shared" si="3"/>
        <v>$0.05-$0.5</v>
      </c>
      <c r="L19" t="str">
        <f t="shared" si="4"/>
        <v>0-5</v>
      </c>
    </row>
    <row r="20" spans="1:12" x14ac:dyDescent="0.35">
      <c r="A20" t="s">
        <v>41</v>
      </c>
      <c r="B20" t="s">
        <v>42</v>
      </c>
      <c r="C20">
        <v>0.31609999999999999</v>
      </c>
      <c r="D20">
        <v>2.29E-2</v>
      </c>
      <c r="E20">
        <v>2.4799999999999999E-2</v>
      </c>
      <c r="F20">
        <v>4.1700000000000001E-2</v>
      </c>
      <c r="G20">
        <v>294371405</v>
      </c>
      <c r="H20">
        <f t="shared" si="0"/>
        <v>0.32413863822805578</v>
      </c>
      <c r="I20">
        <f t="shared" si="1"/>
        <v>0.30344628971872895</v>
      </c>
      <c r="J20">
        <f t="shared" si="2"/>
        <v>2.9800000000000004E-2</v>
      </c>
      <c r="K20" t="str">
        <f t="shared" si="3"/>
        <v>$0.05-$0.5</v>
      </c>
      <c r="L20" t="str">
        <f t="shared" si="4"/>
        <v>0-5</v>
      </c>
    </row>
    <row r="21" spans="1:12" x14ac:dyDescent="0.35">
      <c r="A21" t="s">
        <v>576</v>
      </c>
      <c r="B21" t="s">
        <v>577</v>
      </c>
      <c r="C21">
        <v>0.29089999999999999</v>
      </c>
      <c r="D21">
        <v>5.8999999999999999E-3</v>
      </c>
      <c r="E21">
        <v>1.83E-2</v>
      </c>
      <c r="F21">
        <v>0.13780000000000001</v>
      </c>
      <c r="G21">
        <v>290941128</v>
      </c>
      <c r="H21">
        <f t="shared" si="0"/>
        <v>0.29632270551084849</v>
      </c>
      <c r="I21">
        <f t="shared" si="1"/>
        <v>0.25566883459307438</v>
      </c>
      <c r="J21">
        <f t="shared" si="2"/>
        <v>5.3999999999999999E-2</v>
      </c>
      <c r="K21" t="str">
        <f t="shared" si="3"/>
        <v>$0.05-$0.5</v>
      </c>
      <c r="L21" t="str">
        <f t="shared" si="4"/>
        <v>0-5</v>
      </c>
    </row>
    <row r="22" spans="1:12" x14ac:dyDescent="0.35">
      <c r="A22" t="s">
        <v>37</v>
      </c>
      <c r="B22" t="s">
        <v>38</v>
      </c>
      <c r="C22">
        <v>0.14349999999999999</v>
      </c>
      <c r="D22">
        <v>3.3599999999999998E-2</v>
      </c>
      <c r="E22">
        <v>0.114</v>
      </c>
      <c r="F22">
        <v>9.8299999999999998E-2</v>
      </c>
      <c r="G22">
        <v>287106996</v>
      </c>
      <c r="H22">
        <f t="shared" si="0"/>
        <v>0.16196388261851014</v>
      </c>
      <c r="I22">
        <f t="shared" si="1"/>
        <v>0.13065646908859144</v>
      </c>
      <c r="J22">
        <f t="shared" si="2"/>
        <v>8.1966666666666674E-2</v>
      </c>
      <c r="K22" t="str">
        <f t="shared" si="3"/>
        <v>$0.05-$0.5</v>
      </c>
      <c r="L22" t="str">
        <f t="shared" si="4"/>
        <v>0-5</v>
      </c>
    </row>
    <row r="23" spans="1:12" x14ac:dyDescent="0.35">
      <c r="A23" t="s">
        <v>31</v>
      </c>
      <c r="B23" t="s">
        <v>32</v>
      </c>
      <c r="C23">
        <v>0.24859999999999999</v>
      </c>
      <c r="D23">
        <v>1.6299999999999999E-2</v>
      </c>
      <c r="E23">
        <v>9.7000000000000003E-3</v>
      </c>
      <c r="F23">
        <v>0.21329999999999999</v>
      </c>
      <c r="G23">
        <v>270396237</v>
      </c>
      <c r="H23">
        <f t="shared" si="0"/>
        <v>0.25103503988690296</v>
      </c>
      <c r="I23">
        <f t="shared" si="1"/>
        <v>0.20489573889392565</v>
      </c>
      <c r="J23">
        <f t="shared" si="2"/>
        <v>7.9766666666666666E-2</v>
      </c>
      <c r="K23" t="str">
        <f t="shared" si="3"/>
        <v>$0.05-$0.5</v>
      </c>
      <c r="L23" t="str">
        <f t="shared" si="4"/>
        <v>0-5</v>
      </c>
    </row>
    <row r="24" spans="1:12" x14ac:dyDescent="0.35">
      <c r="A24" t="s">
        <v>39</v>
      </c>
      <c r="B24" t="s">
        <v>40</v>
      </c>
      <c r="C24">
        <v>0.30520000000000003</v>
      </c>
      <c r="D24">
        <v>1.4200000000000001E-2</v>
      </c>
      <c r="E24">
        <v>1.34E-2</v>
      </c>
      <c r="F24">
        <v>0.16969999999999999</v>
      </c>
      <c r="G24">
        <v>268853088</v>
      </c>
      <c r="H24">
        <f t="shared" si="0"/>
        <v>0.30934522602878572</v>
      </c>
      <c r="I24">
        <f t="shared" si="1"/>
        <v>0.26092160383004193</v>
      </c>
      <c r="J24">
        <f t="shared" si="2"/>
        <v>6.5766666666666654E-2</v>
      </c>
      <c r="K24" t="str">
        <f t="shared" si="3"/>
        <v>$0.05-$0.5</v>
      </c>
      <c r="L24" t="str">
        <f t="shared" si="4"/>
        <v>0-5</v>
      </c>
    </row>
    <row r="25" spans="1:12" x14ac:dyDescent="0.35">
      <c r="A25" t="s">
        <v>43</v>
      </c>
      <c r="B25" t="s">
        <v>44</v>
      </c>
      <c r="C25">
        <v>6.2700000000000006E-2</v>
      </c>
      <c r="D25">
        <v>1.2999999999999999E-3</v>
      </c>
      <c r="E25">
        <v>8.8000000000000005E-3</v>
      </c>
      <c r="F25">
        <v>0.1326</v>
      </c>
      <c r="G25">
        <v>265612582</v>
      </c>
      <c r="H25">
        <f t="shared" si="0"/>
        <v>6.3256658595641654E-2</v>
      </c>
      <c r="I25">
        <f t="shared" si="1"/>
        <v>5.535935016775561E-2</v>
      </c>
      <c r="J25">
        <f t="shared" si="2"/>
        <v>4.7566666666666667E-2</v>
      </c>
      <c r="K25" t="str">
        <f t="shared" si="3"/>
        <v>$0.05-$0.5</v>
      </c>
      <c r="L25" t="str">
        <f t="shared" si="4"/>
        <v>0-5</v>
      </c>
    </row>
    <row r="26" spans="1:12" x14ac:dyDescent="0.35">
      <c r="A26" t="s">
        <v>162</v>
      </c>
      <c r="B26" t="s">
        <v>163</v>
      </c>
      <c r="C26">
        <v>6.2700000000000006E-2</v>
      </c>
      <c r="D26">
        <v>5.9999999999999995E-4</v>
      </c>
      <c r="E26">
        <v>6.9999999999999999E-4</v>
      </c>
      <c r="F26">
        <v>2.1899999999999999E-2</v>
      </c>
      <c r="G26">
        <v>264823743</v>
      </c>
      <c r="H26">
        <f t="shared" si="0"/>
        <v>6.2743920744521176E-2</v>
      </c>
      <c r="I26">
        <f t="shared" si="1"/>
        <v>6.1356297093649086E-2</v>
      </c>
      <c r="J26">
        <f t="shared" si="2"/>
        <v>7.7333333333333325E-3</v>
      </c>
      <c r="K26" t="str">
        <f t="shared" si="3"/>
        <v>$0.05-$0.5</v>
      </c>
      <c r="L26" t="str">
        <f t="shared" si="4"/>
        <v>0-5</v>
      </c>
    </row>
    <row r="27" spans="1:12" x14ac:dyDescent="0.35">
      <c r="A27" t="s">
        <v>578</v>
      </c>
      <c r="B27" t="s">
        <v>578</v>
      </c>
      <c r="C27">
        <v>0.26440000000000002</v>
      </c>
      <c r="D27">
        <v>1.5E-3</v>
      </c>
      <c r="E27">
        <v>3.7699999999999997E-2</v>
      </c>
      <c r="F27">
        <v>0.5998</v>
      </c>
      <c r="G27">
        <v>264465683</v>
      </c>
      <c r="H27">
        <f t="shared" si="0"/>
        <v>0.27475839135404762</v>
      </c>
      <c r="I27">
        <f t="shared" si="1"/>
        <v>0.16527065883235406</v>
      </c>
      <c r="J27">
        <f t="shared" si="2"/>
        <v>0.21299999999999999</v>
      </c>
      <c r="K27" t="str">
        <f t="shared" si="3"/>
        <v>$0.05-$0.5</v>
      </c>
      <c r="L27" t="str">
        <f t="shared" si="4"/>
        <v>0-5</v>
      </c>
    </row>
    <row r="28" spans="1:12" x14ac:dyDescent="0.35">
      <c r="A28" t="s">
        <v>164</v>
      </c>
      <c r="B28" t="s">
        <v>165</v>
      </c>
      <c r="C28">
        <v>2.52E-2</v>
      </c>
      <c r="D28">
        <v>8.3999999999999995E-3</v>
      </c>
      <c r="E28">
        <v>1.6999999999999999E-3</v>
      </c>
      <c r="F28">
        <v>0.26279999999999998</v>
      </c>
      <c r="G28">
        <v>262120882</v>
      </c>
      <c r="H28">
        <f t="shared" si="0"/>
        <v>2.5242912952018432E-2</v>
      </c>
      <c r="I28">
        <f t="shared" si="1"/>
        <v>1.9955654101995568E-2</v>
      </c>
      <c r="J28">
        <f t="shared" si="2"/>
        <v>9.0966666666666654E-2</v>
      </c>
      <c r="K28" t="str">
        <f t="shared" si="3"/>
        <v>$0-$0.05</v>
      </c>
      <c r="L28" t="str">
        <f t="shared" si="4"/>
        <v>0-5</v>
      </c>
    </row>
    <row r="29" spans="1:12" x14ac:dyDescent="0.35">
      <c r="A29" t="s">
        <v>51</v>
      </c>
      <c r="B29" t="s">
        <v>52</v>
      </c>
      <c r="C29">
        <v>2.5999999999999999E-3</v>
      </c>
      <c r="D29">
        <v>1.0800000000000001E-2</v>
      </c>
      <c r="E29">
        <v>3.8600000000000002E-2</v>
      </c>
      <c r="F29">
        <v>0.1148</v>
      </c>
      <c r="G29">
        <v>261786182</v>
      </c>
      <c r="H29">
        <f t="shared" si="0"/>
        <v>2.7043894320782189E-3</v>
      </c>
      <c r="I29">
        <f t="shared" si="1"/>
        <v>2.3322569070685323E-3</v>
      </c>
      <c r="J29">
        <f t="shared" si="2"/>
        <v>5.4733333333333335E-2</v>
      </c>
      <c r="K29" t="str">
        <f t="shared" si="3"/>
        <v>$0-$0.05</v>
      </c>
      <c r="L29" t="str">
        <f t="shared" si="4"/>
        <v>0-5</v>
      </c>
    </row>
    <row r="30" spans="1:12" x14ac:dyDescent="0.35">
      <c r="A30" t="s">
        <v>166</v>
      </c>
      <c r="B30" t="s">
        <v>167</v>
      </c>
      <c r="C30">
        <v>2.1999999999999999E-2</v>
      </c>
      <c r="D30">
        <v>1.5599999999999999E-2</v>
      </c>
      <c r="E30">
        <v>4.0899999999999999E-2</v>
      </c>
      <c r="F30">
        <v>3.6200000000000003E-2</v>
      </c>
      <c r="G30">
        <v>260554176</v>
      </c>
      <c r="H30">
        <f t="shared" si="0"/>
        <v>2.2938171202168699E-2</v>
      </c>
      <c r="I30">
        <f t="shared" si="1"/>
        <v>2.1231422505307854E-2</v>
      </c>
      <c r="J30">
        <f t="shared" si="2"/>
        <v>3.09E-2</v>
      </c>
      <c r="K30" t="str">
        <f t="shared" si="3"/>
        <v>$0-$0.05</v>
      </c>
      <c r="L30" t="str">
        <f t="shared" si="4"/>
        <v>0-5</v>
      </c>
    </row>
    <row r="31" spans="1:12" x14ac:dyDescent="0.35">
      <c r="A31" t="s">
        <v>45</v>
      </c>
      <c r="B31" t="s">
        <v>46</v>
      </c>
      <c r="C31">
        <v>96.31</v>
      </c>
      <c r="D31">
        <v>1.29E-2</v>
      </c>
      <c r="E31">
        <v>3.1099999999999999E-2</v>
      </c>
      <c r="F31">
        <v>9.6100000000000005E-2</v>
      </c>
      <c r="G31">
        <v>254227183</v>
      </c>
      <c r="H31">
        <f t="shared" si="0"/>
        <v>99.401383011662716</v>
      </c>
      <c r="I31">
        <f t="shared" si="1"/>
        <v>87.866070613995063</v>
      </c>
      <c r="J31">
        <f t="shared" si="2"/>
        <v>4.6699999999999998E-2</v>
      </c>
      <c r="K31" t="str">
        <f t="shared" si="3"/>
        <v>&gt;$50</v>
      </c>
      <c r="L31" t="str">
        <f t="shared" si="4"/>
        <v>Above 5</v>
      </c>
    </row>
    <row r="32" spans="1:12" x14ac:dyDescent="0.35">
      <c r="A32" t="s">
        <v>53</v>
      </c>
      <c r="B32" t="s">
        <v>54</v>
      </c>
      <c r="C32">
        <v>1.3299999999999999E-2</v>
      </c>
      <c r="D32">
        <v>6.3E-3</v>
      </c>
      <c r="E32">
        <v>1E-4</v>
      </c>
      <c r="F32">
        <v>5.0799999999999998E-2</v>
      </c>
      <c r="G32">
        <v>8310815292</v>
      </c>
      <c r="H32">
        <f t="shared" si="0"/>
        <v>1.33013301330133E-2</v>
      </c>
      <c r="I32">
        <f t="shared" si="1"/>
        <v>1.2657023220403503E-2</v>
      </c>
      <c r="J32">
        <f t="shared" si="2"/>
        <v>1.9066666666666666E-2</v>
      </c>
      <c r="K32" t="str">
        <f t="shared" si="3"/>
        <v>$0-$0.05</v>
      </c>
      <c r="L32" t="str">
        <f t="shared" si="4"/>
        <v>0-5</v>
      </c>
    </row>
    <row r="33" spans="1:12" x14ac:dyDescent="0.35">
      <c r="A33" t="s">
        <v>55</v>
      </c>
      <c r="B33" t="s">
        <v>55</v>
      </c>
      <c r="C33">
        <v>12.91</v>
      </c>
      <c r="D33">
        <v>2.2100000000000002E-2</v>
      </c>
      <c r="E33">
        <v>2.7199999999999998E-2</v>
      </c>
      <c r="F33">
        <v>7.4999999999999997E-3</v>
      </c>
      <c r="G33">
        <v>4001654108</v>
      </c>
      <c r="H33">
        <f t="shared" si="0"/>
        <v>13.270970394736842</v>
      </c>
      <c r="I33">
        <f t="shared" si="1"/>
        <v>12.813895781637717</v>
      </c>
      <c r="J33">
        <f t="shared" si="2"/>
        <v>1.8933333333333333E-2</v>
      </c>
      <c r="K33" t="str">
        <f t="shared" si="3"/>
        <v>$5-$50</v>
      </c>
      <c r="L33" t="str">
        <f t="shared" si="4"/>
        <v>Above 5</v>
      </c>
    </row>
    <row r="34" spans="1:12" x14ac:dyDescent="0.35">
      <c r="A34" t="s">
        <v>56</v>
      </c>
      <c r="B34" t="s">
        <v>57</v>
      </c>
      <c r="C34">
        <v>1.1299999999999999</v>
      </c>
      <c r="D34">
        <v>1E-4</v>
      </c>
      <c r="E34">
        <v>1.1000000000000001E-3</v>
      </c>
      <c r="F34">
        <v>6.9999999999999999E-4</v>
      </c>
      <c r="G34">
        <v>2138935849</v>
      </c>
      <c r="H34">
        <f t="shared" si="0"/>
        <v>1.1312443688056861</v>
      </c>
      <c r="I34">
        <f t="shared" si="1"/>
        <v>1.1292095533126811</v>
      </c>
      <c r="J34">
        <f t="shared" si="2"/>
        <v>6.333333333333334E-4</v>
      </c>
      <c r="K34" t="str">
        <f t="shared" si="3"/>
        <v>$0.5-$5</v>
      </c>
      <c r="L34" t="str">
        <f t="shared" si="4"/>
        <v>0-5</v>
      </c>
    </row>
    <row r="35" spans="1:12" x14ac:dyDescent="0.35">
      <c r="A35" t="s">
        <v>58</v>
      </c>
      <c r="B35" t="s">
        <v>58</v>
      </c>
      <c r="C35">
        <v>5.1799999999999999E-2</v>
      </c>
      <c r="D35">
        <v>1.6999999999999999E-3</v>
      </c>
      <c r="E35">
        <v>1.2800000000000001E-2</v>
      </c>
      <c r="F35">
        <v>5.3900000000000003E-2</v>
      </c>
      <c r="G35">
        <v>1590003092</v>
      </c>
      <c r="H35">
        <f t="shared" si="0"/>
        <v>5.2471636952998377E-2</v>
      </c>
      <c r="I35">
        <f t="shared" si="1"/>
        <v>4.9150773318151625E-2</v>
      </c>
      <c r="J35">
        <f t="shared" si="2"/>
        <v>2.2800000000000001E-2</v>
      </c>
      <c r="K35" t="str">
        <f t="shared" si="3"/>
        <v>$0.05-$0.5</v>
      </c>
      <c r="L35" t="str">
        <f t="shared" si="4"/>
        <v>0-5</v>
      </c>
    </row>
    <row r="36" spans="1:12" x14ac:dyDescent="0.35">
      <c r="A36" t="s">
        <v>59</v>
      </c>
      <c r="B36" t="s">
        <v>60</v>
      </c>
      <c r="C36">
        <v>0.996</v>
      </c>
      <c r="D36">
        <v>4.0000000000000002E-4</v>
      </c>
      <c r="E36">
        <v>4.0000000000000002E-4</v>
      </c>
      <c r="F36">
        <v>1E-3</v>
      </c>
      <c r="G36">
        <v>1297218130</v>
      </c>
      <c r="H36">
        <f t="shared" si="0"/>
        <v>0.99639855942376943</v>
      </c>
      <c r="I36">
        <f t="shared" si="1"/>
        <v>0.99500499500499506</v>
      </c>
      <c r="J36">
        <f t="shared" si="2"/>
        <v>5.9999999999999995E-4</v>
      </c>
      <c r="K36" t="str">
        <f t="shared" si="3"/>
        <v>$0.5-$5</v>
      </c>
      <c r="L36" t="str">
        <f t="shared" si="4"/>
        <v>0-5</v>
      </c>
    </row>
    <row r="37" spans="1:12" x14ac:dyDescent="0.35">
      <c r="A37" t="s">
        <v>61</v>
      </c>
      <c r="B37" t="s">
        <v>62</v>
      </c>
      <c r="C37">
        <v>0.1905</v>
      </c>
      <c r="D37">
        <v>4.7999999999999996E-3</v>
      </c>
      <c r="E37">
        <v>1.2699999999999999E-2</v>
      </c>
      <c r="F37">
        <v>7.4899999999999994E-2</v>
      </c>
      <c r="G37">
        <v>849663238</v>
      </c>
      <c r="H37">
        <f t="shared" si="0"/>
        <v>0.19295047098146462</v>
      </c>
      <c r="I37">
        <f t="shared" si="1"/>
        <v>0.17722578844543679</v>
      </c>
      <c r="J37">
        <f t="shared" si="2"/>
        <v>3.0799999999999998E-2</v>
      </c>
      <c r="K37" t="str">
        <f t="shared" si="3"/>
        <v>$0.05-$0.5</v>
      </c>
      <c r="L37" t="str">
        <f t="shared" si="4"/>
        <v>0-5</v>
      </c>
    </row>
    <row r="38" spans="1:12" x14ac:dyDescent="0.35">
      <c r="A38" t="s">
        <v>63</v>
      </c>
      <c r="B38" t="s">
        <v>64</v>
      </c>
      <c r="C38">
        <v>3.35</v>
      </c>
      <c r="D38">
        <v>6.3E-3</v>
      </c>
      <c r="E38">
        <v>1.8499999999999999E-2</v>
      </c>
      <c r="F38">
        <v>0.106</v>
      </c>
      <c r="G38">
        <v>740233170</v>
      </c>
      <c r="H38">
        <f t="shared" si="0"/>
        <v>3.4131431482424861</v>
      </c>
      <c r="I38">
        <f t="shared" si="1"/>
        <v>3.0289330922242312</v>
      </c>
      <c r="J38">
        <f t="shared" si="2"/>
        <v>4.36E-2</v>
      </c>
      <c r="K38" t="str">
        <f t="shared" si="3"/>
        <v>$0.5-$5</v>
      </c>
      <c r="L38" t="str">
        <f t="shared" si="4"/>
        <v>0-5</v>
      </c>
    </row>
    <row r="39" spans="1:12" x14ac:dyDescent="0.35">
      <c r="A39" t="s">
        <v>65</v>
      </c>
      <c r="B39" t="s">
        <v>66</v>
      </c>
      <c r="C39">
        <v>7.8899999999999998E-2</v>
      </c>
      <c r="D39">
        <v>1E-4</v>
      </c>
      <c r="E39">
        <v>3.8999999999999998E-3</v>
      </c>
      <c r="F39">
        <v>7.6E-3</v>
      </c>
      <c r="G39">
        <v>610737550</v>
      </c>
      <c r="H39">
        <f t="shared" si="0"/>
        <v>7.9208914767593619E-2</v>
      </c>
      <c r="I39">
        <f t="shared" si="1"/>
        <v>7.8304882890035718E-2</v>
      </c>
      <c r="J39">
        <f t="shared" si="2"/>
        <v>3.8666666666666663E-3</v>
      </c>
      <c r="K39" t="str">
        <f t="shared" si="3"/>
        <v>$0.05-$0.5</v>
      </c>
      <c r="L39" t="str">
        <f t="shared" si="4"/>
        <v>0-5</v>
      </c>
    </row>
    <row r="40" spans="1:12" x14ac:dyDescent="0.35">
      <c r="A40" t="s">
        <v>67</v>
      </c>
      <c r="B40" t="s">
        <v>67</v>
      </c>
      <c r="C40">
        <v>0.99919999999999998</v>
      </c>
      <c r="D40">
        <v>1E-4</v>
      </c>
      <c r="E40">
        <v>1E-4</v>
      </c>
      <c r="F40">
        <v>1E-4</v>
      </c>
      <c r="G40">
        <v>583590716</v>
      </c>
      <c r="H40">
        <f t="shared" si="0"/>
        <v>0.99929992999299921</v>
      </c>
      <c r="I40">
        <f t="shared" si="1"/>
        <v>0.99910008999100086</v>
      </c>
      <c r="J40">
        <f t="shared" si="2"/>
        <v>1E-4</v>
      </c>
      <c r="K40" t="str">
        <f t="shared" si="3"/>
        <v>$0.5-$5</v>
      </c>
      <c r="L40" t="str">
        <f t="shared" si="4"/>
        <v>0-5</v>
      </c>
    </row>
    <row r="41" spans="1:12" x14ac:dyDescent="0.35">
      <c r="A41" t="s">
        <v>68</v>
      </c>
      <c r="B41" t="s">
        <v>69</v>
      </c>
      <c r="C41">
        <v>105.91</v>
      </c>
      <c r="D41">
        <v>0</v>
      </c>
      <c r="E41">
        <v>0</v>
      </c>
      <c r="F41">
        <v>1.17E-2</v>
      </c>
      <c r="G41">
        <v>571672236</v>
      </c>
      <c r="H41">
        <f t="shared" si="0"/>
        <v>105.91</v>
      </c>
      <c r="I41">
        <f t="shared" si="1"/>
        <v>104.68518335474943</v>
      </c>
      <c r="J41">
        <f t="shared" si="2"/>
        <v>3.9000000000000003E-3</v>
      </c>
      <c r="K41" t="str">
        <f t="shared" si="3"/>
        <v>&gt;$50</v>
      </c>
      <c r="L41" t="str">
        <f t="shared" si="4"/>
        <v>Above 5</v>
      </c>
    </row>
    <row r="42" spans="1:12" x14ac:dyDescent="0.35">
      <c r="A42" t="s">
        <v>579</v>
      </c>
      <c r="B42" t="s">
        <v>580</v>
      </c>
      <c r="C42">
        <v>0.99850000000000005</v>
      </c>
      <c r="D42">
        <v>0</v>
      </c>
      <c r="E42">
        <v>1E-4</v>
      </c>
      <c r="F42">
        <v>0</v>
      </c>
      <c r="G42">
        <v>558965543</v>
      </c>
      <c r="H42">
        <f t="shared" si="0"/>
        <v>0.99859985998599865</v>
      </c>
      <c r="I42">
        <f t="shared" si="1"/>
        <v>0.99850000000000005</v>
      </c>
      <c r="J42">
        <f t="shared" si="2"/>
        <v>3.3333333333333335E-5</v>
      </c>
      <c r="K42" t="str">
        <f t="shared" si="3"/>
        <v>$0.5-$5</v>
      </c>
      <c r="L42" t="str">
        <f t="shared" si="4"/>
        <v>0-5</v>
      </c>
    </row>
    <row r="43" spans="1:12" x14ac:dyDescent="0.35">
      <c r="A43" t="s">
        <v>581</v>
      </c>
      <c r="B43" t="s">
        <v>582</v>
      </c>
      <c r="C43">
        <v>0.99939999999999996</v>
      </c>
      <c r="D43">
        <v>0</v>
      </c>
      <c r="E43">
        <v>1E-4</v>
      </c>
      <c r="F43">
        <v>2.0000000000000001E-4</v>
      </c>
      <c r="G43">
        <v>501065055</v>
      </c>
      <c r="H43">
        <f t="shared" si="0"/>
        <v>0.99949994999499947</v>
      </c>
      <c r="I43">
        <f t="shared" si="1"/>
        <v>0.99920015996800637</v>
      </c>
      <c r="J43">
        <f t="shared" si="2"/>
        <v>1E-4</v>
      </c>
      <c r="K43" t="str">
        <f t="shared" si="3"/>
        <v>$0.5-$5</v>
      </c>
      <c r="L43" t="str">
        <f t="shared" si="4"/>
        <v>0-5</v>
      </c>
    </row>
    <row r="44" spans="1:12" x14ac:dyDescent="0.35">
      <c r="A44" t="s">
        <v>70</v>
      </c>
      <c r="B44" t="s">
        <v>71</v>
      </c>
      <c r="C44">
        <v>1</v>
      </c>
      <c r="D44">
        <v>1E-4</v>
      </c>
      <c r="E44">
        <v>4.0000000000000002E-4</v>
      </c>
      <c r="F44">
        <v>1.9E-3</v>
      </c>
      <c r="G44">
        <v>491353868</v>
      </c>
      <c r="H44">
        <f t="shared" si="0"/>
        <v>1.0004001600640255</v>
      </c>
      <c r="I44">
        <f t="shared" si="1"/>
        <v>0.99810360315400737</v>
      </c>
      <c r="J44">
        <f t="shared" si="2"/>
        <v>8.0000000000000004E-4</v>
      </c>
      <c r="K44" t="str">
        <f t="shared" si="3"/>
        <v>$0.5-$5</v>
      </c>
      <c r="L44" t="str">
        <f t="shared" si="4"/>
        <v>0-5</v>
      </c>
    </row>
    <row r="45" spans="1:12" x14ac:dyDescent="0.35">
      <c r="A45" t="s">
        <v>583</v>
      </c>
      <c r="B45" t="s">
        <v>584</v>
      </c>
      <c r="C45">
        <v>0.1227</v>
      </c>
      <c r="D45">
        <v>1.5100000000000001E-2</v>
      </c>
      <c r="E45">
        <v>1.8200000000000001E-2</v>
      </c>
      <c r="F45">
        <v>0.29870000000000002</v>
      </c>
      <c r="G45">
        <v>306848589</v>
      </c>
      <c r="H45">
        <f t="shared" si="0"/>
        <v>0.12497453656549196</v>
      </c>
      <c r="I45">
        <f t="shared" si="1"/>
        <v>9.4479094479094486E-2</v>
      </c>
      <c r="J45">
        <f t="shared" si="2"/>
        <v>0.11066666666666668</v>
      </c>
      <c r="K45" t="str">
        <f t="shared" si="3"/>
        <v>$0.05-$0.5</v>
      </c>
      <c r="L45" t="str">
        <f t="shared" si="4"/>
        <v>0-5</v>
      </c>
    </row>
    <row r="46" spans="1:12" x14ac:dyDescent="0.35">
      <c r="A46" t="s">
        <v>72</v>
      </c>
      <c r="B46" t="s">
        <v>72</v>
      </c>
      <c r="C46">
        <v>1</v>
      </c>
      <c r="D46">
        <v>0</v>
      </c>
      <c r="E46">
        <v>1E-4</v>
      </c>
      <c r="F46">
        <v>2.0000000000000001E-4</v>
      </c>
      <c r="G46">
        <v>305668004</v>
      </c>
      <c r="H46">
        <f t="shared" si="0"/>
        <v>1.000100010001</v>
      </c>
      <c r="I46">
        <f t="shared" si="1"/>
        <v>0.99980003999200162</v>
      </c>
      <c r="J46">
        <f t="shared" si="2"/>
        <v>1E-4</v>
      </c>
      <c r="K46" t="str">
        <f t="shared" si="3"/>
        <v>$0.5-$5</v>
      </c>
      <c r="L46" t="str">
        <f t="shared" si="4"/>
        <v>0-5</v>
      </c>
    </row>
    <row r="47" spans="1:12" x14ac:dyDescent="0.35">
      <c r="A47" t="s">
        <v>585</v>
      </c>
      <c r="B47" t="s">
        <v>586</v>
      </c>
      <c r="C47">
        <v>511.93</v>
      </c>
      <c r="D47">
        <v>0</v>
      </c>
      <c r="E47">
        <v>0</v>
      </c>
      <c r="F47">
        <v>5.8999999999999999E-3</v>
      </c>
      <c r="G47">
        <v>71492120</v>
      </c>
      <c r="H47">
        <f t="shared" si="0"/>
        <v>511.93</v>
      </c>
      <c r="I47">
        <f t="shared" si="1"/>
        <v>508.92732876031414</v>
      </c>
      <c r="J47">
        <f t="shared" si="2"/>
        <v>1.9666666666666665E-3</v>
      </c>
      <c r="K47" t="str">
        <f t="shared" si="3"/>
        <v>&gt;$50</v>
      </c>
      <c r="L47" t="str">
        <f t="shared" si="4"/>
        <v>Above 5</v>
      </c>
    </row>
    <row r="48" spans="1:12" x14ac:dyDescent="0.35">
      <c r="A48" t="s">
        <v>178</v>
      </c>
      <c r="B48" t="s">
        <v>179</v>
      </c>
      <c r="C48">
        <v>0.25729999999999997</v>
      </c>
      <c r="D48">
        <v>2.6200000000000001E-2</v>
      </c>
      <c r="E48">
        <v>5.5199999999999999E-2</v>
      </c>
      <c r="F48">
        <v>0.27400000000000002</v>
      </c>
      <c r="G48">
        <v>71099173</v>
      </c>
      <c r="H48">
        <f t="shared" si="0"/>
        <v>0.2723327688399661</v>
      </c>
      <c r="I48">
        <f t="shared" si="1"/>
        <v>0.20196232339089479</v>
      </c>
      <c r="J48">
        <f t="shared" si="2"/>
        <v>0.11846666666666668</v>
      </c>
      <c r="K48" t="str">
        <f t="shared" si="3"/>
        <v>$0.05-$0.5</v>
      </c>
      <c r="L48" t="str">
        <f t="shared" si="4"/>
        <v>0-5</v>
      </c>
    </row>
    <row r="49" spans="1:12" x14ac:dyDescent="0.35">
      <c r="A49" t="s">
        <v>188</v>
      </c>
      <c r="B49" t="s">
        <v>189</v>
      </c>
      <c r="C49">
        <v>0.1779</v>
      </c>
      <c r="D49">
        <v>1.3299999999999999E-2</v>
      </c>
      <c r="E49">
        <v>7.9399999999999998E-2</v>
      </c>
      <c r="F49">
        <v>0.2117</v>
      </c>
      <c r="G49">
        <v>71061929</v>
      </c>
      <c r="H49">
        <f t="shared" si="0"/>
        <v>0.19324353682381057</v>
      </c>
      <c r="I49">
        <f t="shared" si="1"/>
        <v>0.14681851943550384</v>
      </c>
      <c r="J49">
        <f t="shared" si="2"/>
        <v>0.10146666666666666</v>
      </c>
      <c r="K49" t="str">
        <f t="shared" si="3"/>
        <v>$0.05-$0.5</v>
      </c>
      <c r="L49" t="str">
        <f t="shared" si="4"/>
        <v>0-5</v>
      </c>
    </row>
    <row r="50" spans="1:12" x14ac:dyDescent="0.35">
      <c r="A50" t="s">
        <v>587</v>
      </c>
      <c r="B50" t="s">
        <v>588</v>
      </c>
      <c r="C50">
        <v>3.2199999999999999E-2</v>
      </c>
      <c r="D50">
        <v>2.8999999999999998E-3</v>
      </c>
      <c r="E50">
        <v>6.2100000000000002E-2</v>
      </c>
      <c r="F50">
        <v>6.2399999999999997E-2</v>
      </c>
      <c r="G50">
        <v>70926922</v>
      </c>
      <c r="H50">
        <f t="shared" si="0"/>
        <v>3.4332018338842092E-2</v>
      </c>
      <c r="I50">
        <f t="shared" si="1"/>
        <v>3.0308734939759035E-2</v>
      </c>
      <c r="J50">
        <f t="shared" si="2"/>
        <v>4.2466666666666673E-2</v>
      </c>
      <c r="K50" t="str">
        <f t="shared" si="3"/>
        <v>$0-$0.05</v>
      </c>
      <c r="L50" t="str">
        <f t="shared" si="4"/>
        <v>0-5</v>
      </c>
    </row>
    <row r="51" spans="1:12" x14ac:dyDescent="0.35">
      <c r="A51" t="s">
        <v>589</v>
      </c>
      <c r="B51" t="s">
        <v>75</v>
      </c>
      <c r="C51">
        <v>1.7500000000000002E-2</v>
      </c>
      <c r="D51">
        <v>1.5E-3</v>
      </c>
      <c r="E51">
        <v>6.0000000000000001E-3</v>
      </c>
      <c r="F51">
        <v>0.1002</v>
      </c>
      <c r="G51">
        <v>70637971</v>
      </c>
      <c r="H51">
        <f t="shared" si="0"/>
        <v>1.7605633802816902E-2</v>
      </c>
      <c r="I51">
        <f t="shared" si="1"/>
        <v>1.5906198872932195E-2</v>
      </c>
      <c r="J51">
        <f t="shared" si="2"/>
        <v>3.5899999999999994E-2</v>
      </c>
      <c r="K51" t="str">
        <f t="shared" si="3"/>
        <v>$0-$0.05</v>
      </c>
      <c r="L51" t="str">
        <f t="shared" si="4"/>
        <v>0-5</v>
      </c>
    </row>
    <row r="52" spans="1:12" x14ac:dyDescent="0.35">
      <c r="A52" t="s">
        <v>176</v>
      </c>
      <c r="B52" t="s">
        <v>177</v>
      </c>
      <c r="C52">
        <v>4.3E-3</v>
      </c>
      <c r="D52">
        <v>1.2800000000000001E-2</v>
      </c>
      <c r="E52">
        <v>1.1299999999999999E-2</v>
      </c>
      <c r="F52">
        <v>0.1721</v>
      </c>
      <c r="G52">
        <v>70321185</v>
      </c>
      <c r="H52">
        <f t="shared" si="0"/>
        <v>4.3491453423687666E-3</v>
      </c>
      <c r="I52">
        <f t="shared" si="1"/>
        <v>3.6686289565736716E-3</v>
      </c>
      <c r="J52">
        <f t="shared" si="2"/>
        <v>6.54E-2</v>
      </c>
      <c r="K52" t="str">
        <f t="shared" si="3"/>
        <v>$0-$0.05</v>
      </c>
      <c r="L52" t="str">
        <f t="shared" si="4"/>
        <v>0-5</v>
      </c>
    </row>
    <row r="53" spans="1:12" x14ac:dyDescent="0.35">
      <c r="A53" t="s">
        <v>76</v>
      </c>
      <c r="B53" t="s">
        <v>77</v>
      </c>
      <c r="C53">
        <v>2.4199999999999999E-2</v>
      </c>
      <c r="D53">
        <v>7.7000000000000002E-3</v>
      </c>
      <c r="E53">
        <v>3.5999999999999997E-2</v>
      </c>
      <c r="F53">
        <v>7.8700000000000006E-2</v>
      </c>
      <c r="G53">
        <v>70159996</v>
      </c>
      <c r="H53">
        <f t="shared" si="0"/>
        <v>2.5103734439834026E-2</v>
      </c>
      <c r="I53">
        <f t="shared" si="1"/>
        <v>2.2434411791971816E-2</v>
      </c>
      <c r="J53">
        <f t="shared" si="2"/>
        <v>4.0800000000000003E-2</v>
      </c>
      <c r="K53" t="str">
        <f t="shared" si="3"/>
        <v>$0-$0.05</v>
      </c>
      <c r="L53" t="str">
        <f t="shared" si="4"/>
        <v>0-5</v>
      </c>
    </row>
    <row r="54" spans="1:12" x14ac:dyDescent="0.35">
      <c r="A54" t="s">
        <v>590</v>
      </c>
      <c r="B54" t="s">
        <v>591</v>
      </c>
      <c r="C54">
        <v>4.5999999999999996</v>
      </c>
      <c r="D54">
        <v>3.5999999999999999E-3</v>
      </c>
      <c r="E54">
        <v>4.3E-3</v>
      </c>
      <c r="F54">
        <v>0.17460000000000001</v>
      </c>
      <c r="G54">
        <v>69908783</v>
      </c>
      <c r="H54">
        <f t="shared" si="0"/>
        <v>4.6198654213116397</v>
      </c>
      <c r="I54">
        <f t="shared" si="1"/>
        <v>3.9162268006129741</v>
      </c>
      <c r="J54">
        <f t="shared" si="2"/>
        <v>6.083333333333333E-2</v>
      </c>
      <c r="K54" t="str">
        <f t="shared" si="3"/>
        <v>$0.5-$5</v>
      </c>
      <c r="L54" t="str">
        <f t="shared" si="4"/>
        <v>0-5</v>
      </c>
    </row>
    <row r="55" spans="1:12" x14ac:dyDescent="0.35">
      <c r="A55" t="s">
        <v>592</v>
      </c>
      <c r="B55" t="s">
        <v>593</v>
      </c>
      <c r="C55">
        <v>0.10970000000000001</v>
      </c>
      <c r="D55">
        <v>5.04E-2</v>
      </c>
      <c r="E55">
        <v>9.8799999999999999E-2</v>
      </c>
      <c r="F55">
        <v>0.1129</v>
      </c>
      <c r="G55">
        <v>69873585</v>
      </c>
      <c r="H55">
        <f t="shared" si="0"/>
        <v>0.1217265867731913</v>
      </c>
      <c r="I55">
        <f t="shared" si="1"/>
        <v>9.8571300206667267E-2</v>
      </c>
      <c r="J55">
        <f t="shared" si="2"/>
        <v>8.7366666666666662E-2</v>
      </c>
      <c r="K55" t="str">
        <f t="shared" si="3"/>
        <v>$0.05-$0.5</v>
      </c>
      <c r="L55" t="str">
        <f t="shared" si="4"/>
        <v>0-5</v>
      </c>
    </row>
    <row r="56" spans="1:12" x14ac:dyDescent="0.35">
      <c r="A56" t="s">
        <v>78</v>
      </c>
      <c r="B56" t="s">
        <v>79</v>
      </c>
      <c r="C56">
        <v>0.15840000000000001</v>
      </c>
      <c r="D56">
        <v>2.2000000000000001E-3</v>
      </c>
      <c r="E56">
        <v>2.4199999999999999E-2</v>
      </c>
      <c r="F56">
        <v>4.4999999999999998E-2</v>
      </c>
      <c r="G56">
        <v>69531565</v>
      </c>
      <c r="H56">
        <f t="shared" si="0"/>
        <v>0.16232834597253537</v>
      </c>
      <c r="I56">
        <f t="shared" si="1"/>
        <v>0.15157894736842106</v>
      </c>
      <c r="J56">
        <f t="shared" si="2"/>
        <v>2.3799999999999998E-2</v>
      </c>
      <c r="K56" t="str">
        <f t="shared" si="3"/>
        <v>$0.05-$0.5</v>
      </c>
      <c r="L56" t="str">
        <f t="shared" si="4"/>
        <v>0-5</v>
      </c>
    </row>
    <row r="57" spans="1:12" x14ac:dyDescent="0.35">
      <c r="A57" t="s">
        <v>172</v>
      </c>
      <c r="B57" t="s">
        <v>173</v>
      </c>
      <c r="C57">
        <v>80.55</v>
      </c>
      <c r="D57">
        <v>2.0000000000000001E-4</v>
      </c>
      <c r="E57">
        <v>3.4000000000000002E-2</v>
      </c>
      <c r="F57">
        <v>1.24E-2</v>
      </c>
      <c r="G57">
        <v>68603076</v>
      </c>
      <c r="H57">
        <f t="shared" si="0"/>
        <v>83.385093167701868</v>
      </c>
      <c r="I57">
        <f t="shared" si="1"/>
        <v>79.563413670485971</v>
      </c>
      <c r="J57">
        <f t="shared" si="2"/>
        <v>1.5533333333333335E-2</v>
      </c>
      <c r="K57" t="str">
        <f t="shared" si="3"/>
        <v>&gt;$50</v>
      </c>
      <c r="L57" t="str">
        <f t="shared" si="4"/>
        <v>Above 5</v>
      </c>
    </row>
    <row r="58" spans="1:12" x14ac:dyDescent="0.35">
      <c r="A58" t="s">
        <v>200</v>
      </c>
      <c r="B58" t="s">
        <v>201</v>
      </c>
      <c r="C58">
        <v>2.0000000000000001E-4</v>
      </c>
      <c r="D58">
        <v>1.5699999999999999E-2</v>
      </c>
      <c r="E58">
        <v>0.20419999999999999</v>
      </c>
      <c r="F58">
        <v>0.41320000000000001</v>
      </c>
      <c r="G58">
        <v>68684920</v>
      </c>
      <c r="H58">
        <f t="shared" si="0"/>
        <v>2.5131942699170643E-4</v>
      </c>
      <c r="I58">
        <f t="shared" si="1"/>
        <v>1.4152278516841213E-4</v>
      </c>
      <c r="J58">
        <f t="shared" si="2"/>
        <v>0.21103333333333332</v>
      </c>
      <c r="K58" t="str">
        <f t="shared" si="3"/>
        <v>$0-$0.05</v>
      </c>
      <c r="L58" t="str">
        <f t="shared" si="4"/>
        <v>0-5</v>
      </c>
    </row>
    <row r="59" spans="1:12" x14ac:dyDescent="0.35">
      <c r="A59" t="s">
        <v>594</v>
      </c>
      <c r="B59" t="s">
        <v>595</v>
      </c>
      <c r="C59">
        <v>0.2858</v>
      </c>
      <c r="D59">
        <v>2.29E-2</v>
      </c>
      <c r="E59">
        <v>5.91E-2</v>
      </c>
      <c r="F59">
        <v>0.10920000000000001</v>
      </c>
      <c r="G59">
        <v>68323715</v>
      </c>
      <c r="H59">
        <f t="shared" si="0"/>
        <v>0.30375172706982678</v>
      </c>
      <c r="I59">
        <f t="shared" si="1"/>
        <v>0.25766318067075372</v>
      </c>
      <c r="J59">
        <f t="shared" si="2"/>
        <v>6.3733333333333336E-2</v>
      </c>
      <c r="K59" t="str">
        <f t="shared" si="3"/>
        <v>$0.05-$0.5</v>
      </c>
      <c r="L59" t="str">
        <f t="shared" si="4"/>
        <v>0-5</v>
      </c>
    </row>
    <row r="60" spans="1:12" x14ac:dyDescent="0.35">
      <c r="A60" t="s">
        <v>596</v>
      </c>
      <c r="B60" t="s">
        <v>597</v>
      </c>
      <c r="C60">
        <v>0.2747</v>
      </c>
      <c r="D60">
        <v>1.77E-2</v>
      </c>
      <c r="E60">
        <v>1.0200000000000001E-2</v>
      </c>
      <c r="F60">
        <v>8.7300000000000003E-2</v>
      </c>
      <c r="G60">
        <v>68165381</v>
      </c>
      <c r="H60">
        <f t="shared" si="0"/>
        <v>0.27753081430592036</v>
      </c>
      <c r="I60">
        <f t="shared" si="1"/>
        <v>0.2526441644440357</v>
      </c>
      <c r="J60">
        <f t="shared" si="2"/>
        <v>3.8399999999999997E-2</v>
      </c>
      <c r="K60" t="str">
        <f t="shared" si="3"/>
        <v>$0.05-$0.5</v>
      </c>
      <c r="L60" t="str">
        <f t="shared" si="4"/>
        <v>0-5</v>
      </c>
    </row>
    <row r="61" spans="1:12" x14ac:dyDescent="0.35">
      <c r="A61" t="s">
        <v>598</v>
      </c>
      <c r="B61" t="s">
        <v>599</v>
      </c>
      <c r="C61">
        <v>1901.41</v>
      </c>
      <c r="D61">
        <v>1.6199999999999999E-2</v>
      </c>
      <c r="E61">
        <v>3.0700000000000002E-2</v>
      </c>
      <c r="F61">
        <v>0.1799</v>
      </c>
      <c r="G61">
        <v>68101031</v>
      </c>
      <c r="H61">
        <f t="shared" si="0"/>
        <v>1961.6321056432478</v>
      </c>
      <c r="I61">
        <f t="shared" si="1"/>
        <v>1611.5009746588696</v>
      </c>
      <c r="J61">
        <f t="shared" si="2"/>
        <v>7.5600000000000001E-2</v>
      </c>
      <c r="K61" t="str">
        <f t="shared" si="3"/>
        <v>&gt;$50</v>
      </c>
      <c r="L61" t="str">
        <f t="shared" si="4"/>
        <v>Above 5</v>
      </c>
    </row>
    <row r="62" spans="1:12" x14ac:dyDescent="0.35">
      <c r="A62" t="s">
        <v>600</v>
      </c>
      <c r="B62" t="s">
        <v>601</v>
      </c>
      <c r="C62">
        <v>1.6000000000000001E-3</v>
      </c>
      <c r="D62">
        <v>1.34E-2</v>
      </c>
      <c r="E62">
        <v>4.2900000000000001E-2</v>
      </c>
      <c r="F62">
        <v>5.1999999999999998E-2</v>
      </c>
      <c r="G62">
        <v>50910648</v>
      </c>
      <c r="H62">
        <f t="shared" si="0"/>
        <v>1.6717166440288374E-3</v>
      </c>
      <c r="I62">
        <f t="shared" si="1"/>
        <v>1.520912547528517E-3</v>
      </c>
      <c r="J62">
        <f t="shared" si="2"/>
        <v>3.61E-2</v>
      </c>
      <c r="K62" t="str">
        <f t="shared" si="3"/>
        <v>$0-$0.05</v>
      </c>
      <c r="L62" t="str">
        <f t="shared" si="4"/>
        <v>0-5</v>
      </c>
    </row>
    <row r="63" spans="1:12" x14ac:dyDescent="0.35">
      <c r="A63" t="s">
        <v>198</v>
      </c>
      <c r="B63" t="s">
        <v>199</v>
      </c>
      <c r="C63">
        <v>77.069999999999993</v>
      </c>
      <c r="D63">
        <v>1.5299999999999999E-2</v>
      </c>
      <c r="E63">
        <v>2.7000000000000001E-3</v>
      </c>
      <c r="F63">
        <v>0.1171</v>
      </c>
      <c r="G63">
        <v>50533972</v>
      </c>
      <c r="H63">
        <f t="shared" si="0"/>
        <v>77.278652361375705</v>
      </c>
      <c r="I63">
        <f t="shared" si="1"/>
        <v>68.991137767433528</v>
      </c>
      <c r="J63">
        <f t="shared" si="2"/>
        <v>4.5033333333333335E-2</v>
      </c>
      <c r="K63" t="str">
        <f t="shared" si="3"/>
        <v>&gt;$50</v>
      </c>
      <c r="L63" t="str">
        <f t="shared" si="4"/>
        <v>Above 5</v>
      </c>
    </row>
    <row r="64" spans="1:12" x14ac:dyDescent="0.35">
      <c r="A64" t="s">
        <v>602</v>
      </c>
      <c r="B64" t="s">
        <v>603</v>
      </c>
      <c r="C64">
        <v>489.4</v>
      </c>
      <c r="D64">
        <v>1E-4</v>
      </c>
      <c r="E64">
        <v>7.4000000000000003E-3</v>
      </c>
      <c r="F64">
        <v>2.8000000000000001E-2</v>
      </c>
      <c r="G64">
        <v>50373695</v>
      </c>
      <c r="H64">
        <f t="shared" si="0"/>
        <v>493.04855933910937</v>
      </c>
      <c r="I64">
        <f t="shared" si="1"/>
        <v>476.07003891050579</v>
      </c>
      <c r="J64">
        <f t="shared" si="2"/>
        <v>1.1833333333333335E-2</v>
      </c>
      <c r="K64" t="str">
        <f t="shared" si="3"/>
        <v>&gt;$50</v>
      </c>
      <c r="L64" t="str">
        <f t="shared" si="4"/>
        <v>Above 5</v>
      </c>
    </row>
    <row r="65" spans="1:12" x14ac:dyDescent="0.35">
      <c r="A65" t="s">
        <v>604</v>
      </c>
      <c r="B65" t="s">
        <v>605</v>
      </c>
      <c r="C65">
        <v>1.78E-2</v>
      </c>
      <c r="D65">
        <v>1.9400000000000001E-2</v>
      </c>
      <c r="E65">
        <v>3.8199999999999998E-2</v>
      </c>
      <c r="F65">
        <v>0.15129999999999999</v>
      </c>
      <c r="G65">
        <v>50225420</v>
      </c>
      <c r="H65">
        <f t="shared" si="0"/>
        <v>1.8506966105219382E-2</v>
      </c>
      <c r="I65">
        <f t="shared" si="1"/>
        <v>1.5460783462173196E-2</v>
      </c>
      <c r="J65">
        <f t="shared" si="2"/>
        <v>6.9633333333333325E-2</v>
      </c>
      <c r="K65" t="str">
        <f t="shared" si="3"/>
        <v>$0-$0.05</v>
      </c>
      <c r="L65" t="str">
        <f t="shared" si="4"/>
        <v>0-5</v>
      </c>
    </row>
    <row r="66" spans="1:12" x14ac:dyDescent="0.35">
      <c r="A66" t="s">
        <v>206</v>
      </c>
      <c r="B66" t="s">
        <v>207</v>
      </c>
      <c r="C66">
        <v>5.7999999999999996E-3</v>
      </c>
      <c r="D66">
        <v>2.3099999999999999E-2</v>
      </c>
      <c r="E66">
        <v>9.5999999999999992E-3</v>
      </c>
      <c r="F66">
        <v>0.21540000000000001</v>
      </c>
      <c r="G66">
        <v>50107956</v>
      </c>
      <c r="H66">
        <f t="shared" ref="H66:H129" si="5">C66/(1-E66)</f>
        <v>5.8562197092084005E-3</v>
      </c>
      <c r="I66">
        <f t="shared" ref="I66:I129" si="6">C66/(1+F66)</f>
        <v>4.7720914925127528E-3</v>
      </c>
      <c r="J66">
        <f t="shared" ref="J66:J129" si="7">AVERAGE(D66,E66,F66)</f>
        <v>8.270000000000001E-2</v>
      </c>
      <c r="K66" t="str">
        <f t="shared" ref="K66:K129" si="8">IF(C66&lt;=0.05,"$0-$0.05",
IF(C66&lt;=0.5,"$0.05-$0.5",
IF(C66&lt;=5,"$0.5-$5",
IF(C66&lt;=50,"$5-$50",
"&gt;$50"))))</f>
        <v>$0-$0.05</v>
      </c>
      <c r="L66" t="str">
        <f t="shared" ref="L66:L129" si="9">IF(AND(C66&gt;=0,C66&lt;=5),"0-5","Above 5")</f>
        <v>0-5</v>
      </c>
    </row>
    <row r="67" spans="1:12" x14ac:dyDescent="0.35">
      <c r="A67" t="s">
        <v>606</v>
      </c>
      <c r="B67" t="s">
        <v>607</v>
      </c>
      <c r="C67">
        <v>3.4</v>
      </c>
      <c r="D67">
        <v>2.4899999999999999E-2</v>
      </c>
      <c r="E67">
        <v>0.31869999999999998</v>
      </c>
      <c r="F67">
        <v>0.4269</v>
      </c>
      <c r="G67">
        <v>49957470</v>
      </c>
      <c r="H67">
        <f t="shared" si="5"/>
        <v>4.9904594158226914</v>
      </c>
      <c r="I67">
        <f t="shared" si="6"/>
        <v>2.3827878617983038</v>
      </c>
      <c r="J67">
        <f t="shared" si="7"/>
        <v>0.2568333333333333</v>
      </c>
      <c r="K67" t="str">
        <f t="shared" si="8"/>
        <v>$0.5-$5</v>
      </c>
      <c r="L67" t="str">
        <f t="shared" si="9"/>
        <v>0-5</v>
      </c>
    </row>
    <row r="68" spans="1:12" x14ac:dyDescent="0.35">
      <c r="A68" t="s">
        <v>208</v>
      </c>
      <c r="B68" t="s">
        <v>209</v>
      </c>
      <c r="C68">
        <v>6.4600000000000005E-2</v>
      </c>
      <c r="D68">
        <v>1.24E-2</v>
      </c>
      <c r="E68">
        <v>1E-3</v>
      </c>
      <c r="F68">
        <v>0.23760000000000001</v>
      </c>
      <c r="G68">
        <v>49930795</v>
      </c>
      <c r="H68">
        <f t="shared" si="5"/>
        <v>6.4664664664664667E-2</v>
      </c>
      <c r="I68">
        <f t="shared" si="6"/>
        <v>5.21978021978022E-2</v>
      </c>
      <c r="J68">
        <f t="shared" si="7"/>
        <v>8.3666666666666667E-2</v>
      </c>
      <c r="K68" t="str">
        <f t="shared" si="8"/>
        <v>$0.05-$0.5</v>
      </c>
      <c r="L68" t="str">
        <f t="shared" si="9"/>
        <v>0-5</v>
      </c>
    </row>
    <row r="69" spans="1:12" x14ac:dyDescent="0.35">
      <c r="A69" t="s">
        <v>196</v>
      </c>
      <c r="B69" t="s">
        <v>197</v>
      </c>
      <c r="C69">
        <v>81.489999999999995</v>
      </c>
      <c r="D69">
        <v>0</v>
      </c>
      <c r="E69">
        <v>1.23E-2</v>
      </c>
      <c r="F69">
        <v>8.3699999999999997E-2</v>
      </c>
      <c r="G69">
        <v>49547294</v>
      </c>
      <c r="H69">
        <f t="shared" si="5"/>
        <v>82.504809152576684</v>
      </c>
      <c r="I69">
        <f t="shared" si="6"/>
        <v>75.196087478084337</v>
      </c>
      <c r="J69">
        <f t="shared" si="7"/>
        <v>3.2000000000000001E-2</v>
      </c>
      <c r="K69" t="str">
        <f t="shared" si="8"/>
        <v>&gt;$50</v>
      </c>
      <c r="L69" t="str">
        <f t="shared" si="9"/>
        <v>Above 5</v>
      </c>
    </row>
    <row r="70" spans="1:12" x14ac:dyDescent="0.35">
      <c r="A70" t="s">
        <v>608</v>
      </c>
      <c r="B70" t="s">
        <v>608</v>
      </c>
      <c r="C70">
        <v>3.5999999999999999E-3</v>
      </c>
      <c r="D70">
        <v>5.1999999999999998E-3</v>
      </c>
      <c r="E70">
        <v>3.0000000000000001E-3</v>
      </c>
      <c r="F70">
        <v>9.5500000000000002E-2</v>
      </c>
      <c r="G70">
        <v>49518092</v>
      </c>
      <c r="H70">
        <f t="shared" si="5"/>
        <v>3.6108324974924774E-3</v>
      </c>
      <c r="I70">
        <f t="shared" si="6"/>
        <v>3.2861706983112735E-3</v>
      </c>
      <c r="J70">
        <f t="shared" si="7"/>
        <v>3.4566666666666669E-2</v>
      </c>
      <c r="K70" t="str">
        <f t="shared" si="8"/>
        <v>$0-$0.05</v>
      </c>
      <c r="L70" t="str">
        <f t="shared" si="9"/>
        <v>0-5</v>
      </c>
    </row>
    <row r="71" spans="1:12" x14ac:dyDescent="0.35">
      <c r="A71" t="s">
        <v>609</v>
      </c>
      <c r="B71" t="s">
        <v>610</v>
      </c>
      <c r="C71">
        <v>4.2200000000000001E-2</v>
      </c>
      <c r="D71">
        <v>4.1000000000000003E-3</v>
      </c>
      <c r="E71">
        <v>0.1888</v>
      </c>
      <c r="F71">
        <v>0.22409999999999999</v>
      </c>
      <c r="G71">
        <v>49454846</v>
      </c>
      <c r="H71">
        <f t="shared" si="5"/>
        <v>5.2021696252465485E-2</v>
      </c>
      <c r="I71">
        <f t="shared" si="6"/>
        <v>3.4474307654603381E-2</v>
      </c>
      <c r="J71">
        <f t="shared" si="7"/>
        <v>0.13899999999999998</v>
      </c>
      <c r="K71" t="str">
        <f t="shared" si="8"/>
        <v>$0-$0.05</v>
      </c>
      <c r="L71" t="str">
        <f t="shared" si="9"/>
        <v>0-5</v>
      </c>
    </row>
    <row r="72" spans="1:12" x14ac:dyDescent="0.35">
      <c r="A72" t="s">
        <v>611</v>
      </c>
      <c r="B72" t="s">
        <v>612</v>
      </c>
      <c r="C72">
        <v>11.19</v>
      </c>
      <c r="D72">
        <v>1.15E-2</v>
      </c>
      <c r="E72">
        <v>1.5100000000000001E-2</v>
      </c>
      <c r="F72">
        <v>0.1777</v>
      </c>
      <c r="G72">
        <v>49400564</v>
      </c>
      <c r="H72">
        <f t="shared" si="5"/>
        <v>11.361559549192812</v>
      </c>
      <c r="I72">
        <f t="shared" si="6"/>
        <v>9.5015708584529168</v>
      </c>
      <c r="J72">
        <f t="shared" si="7"/>
        <v>6.8099999999999994E-2</v>
      </c>
      <c r="K72" t="str">
        <f t="shared" si="8"/>
        <v>$5-$50</v>
      </c>
      <c r="L72" t="str">
        <f t="shared" si="9"/>
        <v>Above 5</v>
      </c>
    </row>
    <row r="73" spans="1:12" x14ac:dyDescent="0.35">
      <c r="A73" t="s">
        <v>613</v>
      </c>
      <c r="B73" t="s">
        <v>614</v>
      </c>
      <c r="C73">
        <v>2.7000000000000001E-3</v>
      </c>
      <c r="D73">
        <v>7.1400000000000005E-2</v>
      </c>
      <c r="E73">
        <v>2.52E-2</v>
      </c>
      <c r="F73">
        <v>0.17230000000000001</v>
      </c>
      <c r="G73">
        <v>49301718</v>
      </c>
      <c r="H73">
        <f t="shared" si="5"/>
        <v>2.7697989331144854E-3</v>
      </c>
      <c r="I73">
        <f t="shared" si="6"/>
        <v>2.3031647189286023E-3</v>
      </c>
      <c r="J73">
        <f t="shared" si="7"/>
        <v>8.9633333333333343E-2</v>
      </c>
      <c r="K73" t="str">
        <f t="shared" si="8"/>
        <v>$0-$0.05</v>
      </c>
      <c r="L73" t="str">
        <f t="shared" si="9"/>
        <v>0-5</v>
      </c>
    </row>
    <row r="74" spans="1:12" x14ac:dyDescent="0.35">
      <c r="A74" t="s">
        <v>202</v>
      </c>
      <c r="B74" t="s">
        <v>203</v>
      </c>
      <c r="C74">
        <v>0.17150000000000001</v>
      </c>
      <c r="D74">
        <v>9.1000000000000004E-3</v>
      </c>
      <c r="E74">
        <v>1.6299999999999999E-2</v>
      </c>
      <c r="F74">
        <v>0.16869999999999999</v>
      </c>
      <c r="G74">
        <v>49208826</v>
      </c>
      <c r="H74">
        <f t="shared" si="5"/>
        <v>0.17434177086510116</v>
      </c>
      <c r="I74">
        <f t="shared" si="6"/>
        <v>0.14674424574313341</v>
      </c>
      <c r="J74">
        <f t="shared" si="7"/>
        <v>6.4699999999999994E-2</v>
      </c>
      <c r="K74" t="str">
        <f t="shared" si="8"/>
        <v>$0.05-$0.5</v>
      </c>
      <c r="L74" t="str">
        <f t="shared" si="9"/>
        <v>0-5</v>
      </c>
    </row>
    <row r="75" spans="1:12" x14ac:dyDescent="0.35">
      <c r="A75" t="s">
        <v>615</v>
      </c>
      <c r="B75" t="s">
        <v>616</v>
      </c>
      <c r="C75">
        <v>21.68</v>
      </c>
      <c r="D75">
        <v>1.4E-3</v>
      </c>
      <c r="E75">
        <v>1.09E-2</v>
      </c>
      <c r="F75">
        <v>2.18E-2</v>
      </c>
      <c r="G75">
        <v>48969188</v>
      </c>
      <c r="H75">
        <f t="shared" si="5"/>
        <v>21.91891618643211</v>
      </c>
      <c r="I75">
        <f t="shared" si="6"/>
        <v>21.217459385398314</v>
      </c>
      <c r="J75">
        <f t="shared" si="7"/>
        <v>1.1366666666666666E-2</v>
      </c>
      <c r="K75" t="str">
        <f t="shared" si="8"/>
        <v>$5-$50</v>
      </c>
      <c r="L75" t="str">
        <f t="shared" si="9"/>
        <v>Above 5</v>
      </c>
    </row>
    <row r="76" spans="1:12" x14ac:dyDescent="0.35">
      <c r="A76" t="s">
        <v>617</v>
      </c>
      <c r="B76" t="s">
        <v>618</v>
      </c>
      <c r="C76">
        <v>9.7999999999999997E-3</v>
      </c>
      <c r="D76">
        <v>3.8800000000000001E-2</v>
      </c>
      <c r="E76">
        <v>3.5000000000000001E-3</v>
      </c>
      <c r="F76">
        <v>0.2727</v>
      </c>
      <c r="G76">
        <v>48870253</v>
      </c>
      <c r="H76">
        <f t="shared" si="5"/>
        <v>9.8344204716507774E-3</v>
      </c>
      <c r="I76">
        <f t="shared" si="6"/>
        <v>7.7001650035357899E-3</v>
      </c>
      <c r="J76">
        <f t="shared" si="7"/>
        <v>0.105</v>
      </c>
      <c r="K76" t="str">
        <f t="shared" si="8"/>
        <v>$0-$0.05</v>
      </c>
      <c r="L76" t="str">
        <f t="shared" si="9"/>
        <v>0-5</v>
      </c>
    </row>
    <row r="77" spans="1:12" x14ac:dyDescent="0.35">
      <c r="A77" t="s">
        <v>243</v>
      </c>
      <c r="B77" t="s">
        <v>244</v>
      </c>
      <c r="C77">
        <v>286.19</v>
      </c>
      <c r="D77">
        <v>2.1399999999999999E-2</v>
      </c>
      <c r="E77">
        <v>8.0000000000000002E-3</v>
      </c>
      <c r="F77">
        <v>0.44319999999999998</v>
      </c>
      <c r="G77">
        <v>36637822</v>
      </c>
      <c r="H77">
        <f t="shared" si="5"/>
        <v>288.49798387096774</v>
      </c>
      <c r="I77">
        <f t="shared" si="6"/>
        <v>198.30238359201772</v>
      </c>
      <c r="J77">
        <f t="shared" si="7"/>
        <v>0.15753333333333333</v>
      </c>
      <c r="K77" t="str">
        <f t="shared" si="8"/>
        <v>&gt;$50</v>
      </c>
      <c r="L77" t="str">
        <f t="shared" si="9"/>
        <v>Above 5</v>
      </c>
    </row>
    <row r="78" spans="1:12" x14ac:dyDescent="0.35">
      <c r="A78" t="s">
        <v>619</v>
      </c>
      <c r="B78" t="s">
        <v>620</v>
      </c>
      <c r="C78">
        <v>78.3</v>
      </c>
      <c r="D78">
        <v>4.7999999999999996E-3</v>
      </c>
      <c r="E78">
        <v>4.3299999999999998E-2</v>
      </c>
      <c r="F78">
        <v>0.3695</v>
      </c>
      <c r="G78">
        <v>36442512</v>
      </c>
      <c r="H78">
        <f t="shared" si="5"/>
        <v>81.843838193791157</v>
      </c>
      <c r="I78">
        <f t="shared" si="6"/>
        <v>57.174151150054762</v>
      </c>
      <c r="J78">
        <f t="shared" si="7"/>
        <v>0.13919999999999999</v>
      </c>
      <c r="K78" t="str">
        <f t="shared" si="8"/>
        <v>&gt;$50</v>
      </c>
      <c r="L78" t="str">
        <f t="shared" si="9"/>
        <v>Above 5</v>
      </c>
    </row>
    <row r="79" spans="1:12" x14ac:dyDescent="0.35">
      <c r="A79" t="s">
        <v>621</v>
      </c>
      <c r="B79" t="s">
        <v>622</v>
      </c>
      <c r="C79">
        <v>716.09</v>
      </c>
      <c r="D79">
        <v>6.7000000000000002E-3</v>
      </c>
      <c r="E79">
        <v>1.84E-2</v>
      </c>
      <c r="F79">
        <v>3.44E-2</v>
      </c>
      <c r="G79">
        <v>36435709</v>
      </c>
      <c r="H79">
        <f t="shared" si="5"/>
        <v>729.5130399348003</v>
      </c>
      <c r="I79">
        <f t="shared" si="6"/>
        <v>692.27571539056464</v>
      </c>
      <c r="J79">
        <f t="shared" si="7"/>
        <v>1.9833333333333331E-2</v>
      </c>
      <c r="K79" t="str">
        <f t="shared" si="8"/>
        <v>&gt;$50</v>
      </c>
      <c r="L79" t="str">
        <f t="shared" si="9"/>
        <v>Above 5</v>
      </c>
    </row>
    <row r="80" spans="1:12" x14ac:dyDescent="0.35">
      <c r="A80" t="s">
        <v>224</v>
      </c>
      <c r="B80" t="s">
        <v>225</v>
      </c>
      <c r="C80">
        <v>0.18579999999999999</v>
      </c>
      <c r="D80">
        <v>6.1000000000000004E-3</v>
      </c>
      <c r="E80">
        <v>3.2800000000000003E-2</v>
      </c>
      <c r="F80">
        <v>0.15290000000000001</v>
      </c>
      <c r="G80">
        <v>36237522</v>
      </c>
      <c r="H80">
        <f t="shared" si="5"/>
        <v>0.19210090984284534</v>
      </c>
      <c r="I80">
        <f t="shared" si="6"/>
        <v>0.16115881689652181</v>
      </c>
      <c r="J80">
        <f t="shared" si="7"/>
        <v>6.3933333333333342E-2</v>
      </c>
      <c r="K80" t="str">
        <f t="shared" si="8"/>
        <v>$0.05-$0.5</v>
      </c>
      <c r="L80" t="str">
        <f t="shared" si="9"/>
        <v>0-5</v>
      </c>
    </row>
    <row r="81" spans="1:12" x14ac:dyDescent="0.35">
      <c r="A81" t="s">
        <v>234</v>
      </c>
      <c r="B81" t="s">
        <v>139</v>
      </c>
      <c r="C81">
        <v>0.36070000000000002</v>
      </c>
      <c r="D81">
        <v>1.7000000000000001E-2</v>
      </c>
      <c r="E81">
        <v>6.4000000000000003E-3</v>
      </c>
      <c r="F81">
        <v>0.16450000000000001</v>
      </c>
      <c r="G81">
        <v>36076778</v>
      </c>
      <c r="H81">
        <f t="shared" si="5"/>
        <v>0.36302334943639292</v>
      </c>
      <c r="I81">
        <f t="shared" si="6"/>
        <v>0.30974667239158438</v>
      </c>
      <c r="J81">
        <f t="shared" si="7"/>
        <v>6.2633333333333333E-2</v>
      </c>
      <c r="K81" t="str">
        <f t="shared" si="8"/>
        <v>$0.05-$0.5</v>
      </c>
      <c r="L81" t="str">
        <f t="shared" si="9"/>
        <v>0-5</v>
      </c>
    </row>
    <row r="82" spans="1:12" x14ac:dyDescent="0.35">
      <c r="A82" t="s">
        <v>623</v>
      </c>
      <c r="B82" t="s">
        <v>624</v>
      </c>
      <c r="C82">
        <v>7.6100000000000001E-2</v>
      </c>
      <c r="D82">
        <v>1.43E-2</v>
      </c>
      <c r="E82">
        <v>8.2100000000000006E-2</v>
      </c>
      <c r="F82">
        <v>7.3000000000000001E-3</v>
      </c>
      <c r="G82">
        <v>36028926</v>
      </c>
      <c r="H82">
        <f t="shared" si="5"/>
        <v>8.2906634709663363E-2</v>
      </c>
      <c r="I82">
        <f t="shared" si="6"/>
        <v>7.5548495979350733E-2</v>
      </c>
      <c r="J82">
        <f t="shared" si="7"/>
        <v>3.4566666666666669E-2</v>
      </c>
      <c r="K82" t="str">
        <f t="shared" si="8"/>
        <v>$0.05-$0.5</v>
      </c>
      <c r="L82" t="str">
        <f t="shared" si="9"/>
        <v>0-5</v>
      </c>
    </row>
    <row r="83" spans="1:12" x14ac:dyDescent="0.35">
      <c r="A83" t="s">
        <v>80</v>
      </c>
      <c r="B83" t="s">
        <v>81</v>
      </c>
      <c r="C83">
        <v>1.01</v>
      </c>
      <c r="D83">
        <v>8.3000000000000001E-3</v>
      </c>
      <c r="E83">
        <v>1.78E-2</v>
      </c>
      <c r="F83">
        <v>0.1191</v>
      </c>
      <c r="G83">
        <v>35979056</v>
      </c>
      <c r="H83">
        <f t="shared" si="5"/>
        <v>1.0283038077784565</v>
      </c>
      <c r="I83">
        <f t="shared" si="6"/>
        <v>0.90251094629613082</v>
      </c>
      <c r="J83">
        <f t="shared" si="7"/>
        <v>4.8399999999999999E-2</v>
      </c>
      <c r="K83" t="str">
        <f t="shared" si="8"/>
        <v>$0.5-$5</v>
      </c>
      <c r="L83" t="str">
        <f t="shared" si="9"/>
        <v>0-5</v>
      </c>
    </row>
    <row r="84" spans="1:12" x14ac:dyDescent="0.35">
      <c r="A84" t="s">
        <v>82</v>
      </c>
      <c r="B84" t="s">
        <v>83</v>
      </c>
      <c r="C84">
        <v>0.10580000000000001</v>
      </c>
      <c r="D84">
        <v>7.3000000000000001E-3</v>
      </c>
      <c r="E84">
        <v>1.7100000000000001E-2</v>
      </c>
      <c r="F84">
        <v>0.1241</v>
      </c>
      <c r="G84">
        <v>35960839</v>
      </c>
      <c r="H84">
        <f t="shared" si="5"/>
        <v>0.1076406552039882</v>
      </c>
      <c r="I84">
        <f t="shared" si="6"/>
        <v>9.4119740236633748E-2</v>
      </c>
      <c r="J84">
        <f t="shared" si="7"/>
        <v>4.9499999999999995E-2</v>
      </c>
      <c r="K84" t="str">
        <f t="shared" si="8"/>
        <v>$0.05-$0.5</v>
      </c>
      <c r="L84" t="str">
        <f t="shared" si="9"/>
        <v>0-5</v>
      </c>
    </row>
    <row r="85" spans="1:12" x14ac:dyDescent="0.35">
      <c r="A85" t="s">
        <v>625</v>
      </c>
      <c r="B85" t="s">
        <v>626</v>
      </c>
      <c r="C85">
        <v>4.7000000000000002E-3</v>
      </c>
      <c r="D85">
        <v>1.17E-2</v>
      </c>
      <c r="E85">
        <v>1.4999999999999999E-2</v>
      </c>
      <c r="F85">
        <v>0.1391</v>
      </c>
      <c r="G85">
        <v>35784755</v>
      </c>
      <c r="H85">
        <f t="shared" si="5"/>
        <v>4.7715736040609136E-3</v>
      </c>
      <c r="I85">
        <f t="shared" si="6"/>
        <v>4.126064436836099E-3</v>
      </c>
      <c r="J85">
        <f t="shared" si="7"/>
        <v>5.5266666666666665E-2</v>
      </c>
      <c r="K85" t="str">
        <f t="shared" si="8"/>
        <v>$0-$0.05</v>
      </c>
      <c r="L85" t="str">
        <f t="shared" si="9"/>
        <v>0-5</v>
      </c>
    </row>
    <row r="86" spans="1:12" x14ac:dyDescent="0.35">
      <c r="A86" t="s">
        <v>84</v>
      </c>
      <c r="B86" t="s">
        <v>85</v>
      </c>
      <c r="C86">
        <v>4.2000000000000003E-2</v>
      </c>
      <c r="D86">
        <v>5.7000000000000002E-3</v>
      </c>
      <c r="E86">
        <v>2.1999999999999999E-2</v>
      </c>
      <c r="F86">
        <v>3.6499999999999998E-2</v>
      </c>
      <c r="G86">
        <v>35751976</v>
      </c>
      <c r="H86">
        <f t="shared" si="5"/>
        <v>4.2944785276073622E-2</v>
      </c>
      <c r="I86">
        <f t="shared" si="6"/>
        <v>4.0520984081041975E-2</v>
      </c>
      <c r="J86">
        <f t="shared" si="7"/>
        <v>2.1399999999999999E-2</v>
      </c>
      <c r="K86" t="str">
        <f t="shared" si="8"/>
        <v>$0-$0.05</v>
      </c>
      <c r="L86" t="str">
        <f t="shared" si="9"/>
        <v>0-5</v>
      </c>
    </row>
    <row r="87" spans="1:12" x14ac:dyDescent="0.35">
      <c r="A87" t="s">
        <v>627</v>
      </c>
      <c r="B87" t="s">
        <v>628</v>
      </c>
      <c r="C87">
        <v>0.25790000000000002</v>
      </c>
      <c r="D87">
        <v>7.3000000000000001E-3</v>
      </c>
      <c r="E87">
        <v>9.1999999999999998E-3</v>
      </c>
      <c r="F87">
        <v>0.18029999999999999</v>
      </c>
      <c r="G87">
        <v>35748783</v>
      </c>
      <c r="H87">
        <f t="shared" si="5"/>
        <v>0.26029471134436821</v>
      </c>
      <c r="I87">
        <f t="shared" si="6"/>
        <v>0.21850377022790818</v>
      </c>
      <c r="J87">
        <f t="shared" si="7"/>
        <v>6.5599999999999992E-2</v>
      </c>
      <c r="K87" t="str">
        <f t="shared" si="8"/>
        <v>$0.05-$0.5</v>
      </c>
      <c r="L87" t="str">
        <f t="shared" si="9"/>
        <v>0-5</v>
      </c>
    </row>
    <row r="88" spans="1:12" x14ac:dyDescent="0.35">
      <c r="A88" t="s">
        <v>629</v>
      </c>
      <c r="B88" t="s">
        <v>630</v>
      </c>
      <c r="C88">
        <v>2.2000000000000001E-3</v>
      </c>
      <c r="D88">
        <v>1.4999999999999999E-2</v>
      </c>
      <c r="E88">
        <v>1.6899999999999998E-2</v>
      </c>
      <c r="F88">
        <v>0.20849999999999999</v>
      </c>
      <c r="G88">
        <v>35687264</v>
      </c>
      <c r="H88">
        <f t="shared" si="5"/>
        <v>2.2378191435255827E-3</v>
      </c>
      <c r="I88">
        <f t="shared" si="6"/>
        <v>1.8204385601985936E-3</v>
      </c>
      <c r="J88">
        <f t="shared" si="7"/>
        <v>8.0133333333333334E-2</v>
      </c>
      <c r="K88" t="str">
        <f t="shared" si="8"/>
        <v>$0-$0.05</v>
      </c>
      <c r="L88" t="str">
        <f t="shared" si="9"/>
        <v>0-5</v>
      </c>
    </row>
    <row r="89" spans="1:12" x14ac:dyDescent="0.35">
      <c r="A89" t="s">
        <v>631</v>
      </c>
      <c r="B89" t="s">
        <v>632</v>
      </c>
      <c r="C89">
        <v>6.0499999999999998E-2</v>
      </c>
      <c r="D89">
        <v>6.0100000000000001E-2</v>
      </c>
      <c r="E89">
        <v>5.5999999999999999E-3</v>
      </c>
      <c r="F89">
        <v>0.69369999999999998</v>
      </c>
      <c r="G89">
        <v>35593996</v>
      </c>
      <c r="H89">
        <f t="shared" si="5"/>
        <v>6.0840707964601774E-2</v>
      </c>
      <c r="I89">
        <f t="shared" si="6"/>
        <v>3.5720611678573537E-2</v>
      </c>
      <c r="J89">
        <f t="shared" si="7"/>
        <v>0.25313333333333332</v>
      </c>
      <c r="K89" t="str">
        <f t="shared" si="8"/>
        <v>$0.05-$0.5</v>
      </c>
      <c r="L89" t="str">
        <f t="shared" si="9"/>
        <v>0-5</v>
      </c>
    </row>
    <row r="90" spans="1:12" x14ac:dyDescent="0.35">
      <c r="A90" t="s">
        <v>633</v>
      </c>
      <c r="B90" t="s">
        <v>634</v>
      </c>
      <c r="C90">
        <v>7.4000000000000003E-3</v>
      </c>
      <c r="D90">
        <v>1.8200000000000001E-2</v>
      </c>
      <c r="E90">
        <v>3.5999999999999999E-3</v>
      </c>
      <c r="F90">
        <v>0.18590000000000001</v>
      </c>
      <c r="G90">
        <v>35562064</v>
      </c>
      <c r="H90">
        <f t="shared" si="5"/>
        <v>7.4267362505018074E-3</v>
      </c>
      <c r="I90">
        <f t="shared" si="6"/>
        <v>6.23998650813728E-3</v>
      </c>
      <c r="J90">
        <f t="shared" si="7"/>
        <v>6.9233333333333327E-2</v>
      </c>
      <c r="K90" t="str">
        <f t="shared" si="8"/>
        <v>$0-$0.05</v>
      </c>
      <c r="L90" t="str">
        <f t="shared" si="9"/>
        <v>0-5</v>
      </c>
    </row>
    <row r="91" spans="1:12" x14ac:dyDescent="0.35">
      <c r="A91" t="s">
        <v>226</v>
      </c>
      <c r="B91" t="s">
        <v>227</v>
      </c>
      <c r="C91">
        <v>0.99990000000000001</v>
      </c>
      <c r="D91">
        <v>1E-4</v>
      </c>
      <c r="E91">
        <v>0</v>
      </c>
      <c r="F91">
        <v>0</v>
      </c>
      <c r="G91">
        <v>35551291</v>
      </c>
      <c r="H91">
        <f t="shared" si="5"/>
        <v>0.99990000000000001</v>
      </c>
      <c r="I91">
        <f t="shared" si="6"/>
        <v>0.99990000000000001</v>
      </c>
      <c r="J91">
        <f t="shared" si="7"/>
        <v>3.3333333333333335E-5</v>
      </c>
      <c r="K91" t="str">
        <f t="shared" si="8"/>
        <v>$0.5-$5</v>
      </c>
      <c r="L91" t="str">
        <f t="shared" si="9"/>
        <v>0-5</v>
      </c>
    </row>
    <row r="92" spans="1:12" x14ac:dyDescent="0.35">
      <c r="A92" t="s">
        <v>257</v>
      </c>
      <c r="B92" t="s">
        <v>258</v>
      </c>
      <c r="C92">
        <v>3.3E-3</v>
      </c>
      <c r="D92">
        <v>2.6599999999999999E-2</v>
      </c>
      <c r="E92">
        <v>1.9400000000000001E-2</v>
      </c>
      <c r="F92">
        <v>0.1709</v>
      </c>
      <c r="G92">
        <v>28596993</v>
      </c>
      <c r="H92">
        <f t="shared" si="5"/>
        <v>3.3652865592494392E-3</v>
      </c>
      <c r="I92">
        <f t="shared" si="6"/>
        <v>2.8183448629259542E-3</v>
      </c>
      <c r="J92">
        <f t="shared" si="7"/>
        <v>7.2299999999999989E-2</v>
      </c>
      <c r="K92" t="str">
        <f t="shared" si="8"/>
        <v>$0-$0.05</v>
      </c>
      <c r="L92" t="str">
        <f t="shared" si="9"/>
        <v>0-5</v>
      </c>
    </row>
    <row r="93" spans="1:12" x14ac:dyDescent="0.35">
      <c r="A93" t="s">
        <v>262</v>
      </c>
      <c r="B93" t="s">
        <v>263</v>
      </c>
      <c r="C93">
        <v>4.5999999999999999E-3</v>
      </c>
      <c r="D93">
        <v>2.8899999999999999E-2</v>
      </c>
      <c r="E93">
        <v>2.0299999999999999E-2</v>
      </c>
      <c r="F93">
        <v>0.19769999999999999</v>
      </c>
      <c r="G93">
        <v>28283130</v>
      </c>
      <c r="H93">
        <f t="shared" si="5"/>
        <v>4.6953148923139735E-3</v>
      </c>
      <c r="I93">
        <f t="shared" si="6"/>
        <v>3.8406946647741506E-3</v>
      </c>
      <c r="J93">
        <f t="shared" si="7"/>
        <v>8.2299999999999998E-2</v>
      </c>
      <c r="K93" t="str">
        <f t="shared" si="8"/>
        <v>$0-$0.05</v>
      </c>
      <c r="L93" t="str">
        <f t="shared" si="9"/>
        <v>0-5</v>
      </c>
    </row>
    <row r="94" spans="1:12" x14ac:dyDescent="0.35">
      <c r="A94" t="s">
        <v>635</v>
      </c>
      <c r="B94" t="s">
        <v>636</v>
      </c>
      <c r="C94">
        <v>1</v>
      </c>
      <c r="D94">
        <v>2.7000000000000001E-3</v>
      </c>
      <c r="E94">
        <v>3.3E-3</v>
      </c>
      <c r="F94">
        <v>4.4999999999999997E-3</v>
      </c>
      <c r="G94">
        <v>28248838</v>
      </c>
      <c r="H94">
        <f t="shared" si="5"/>
        <v>1.0033109260559847</v>
      </c>
      <c r="I94">
        <f t="shared" si="6"/>
        <v>0.99552015928322557</v>
      </c>
      <c r="J94">
        <f t="shared" si="7"/>
        <v>3.4999999999999996E-3</v>
      </c>
      <c r="K94" t="str">
        <f t="shared" si="8"/>
        <v>$0.5-$5</v>
      </c>
      <c r="L94" t="str">
        <f t="shared" si="9"/>
        <v>0-5</v>
      </c>
    </row>
    <row r="95" spans="1:12" x14ac:dyDescent="0.35">
      <c r="A95" t="s">
        <v>259</v>
      </c>
      <c r="B95" t="s">
        <v>259</v>
      </c>
      <c r="C95">
        <v>8.0000000000000004E-4</v>
      </c>
      <c r="D95">
        <v>2.46E-2</v>
      </c>
      <c r="E95">
        <v>1.6299999999999999E-2</v>
      </c>
      <c r="F95">
        <v>0.18390000000000001</v>
      </c>
      <c r="G95">
        <v>28205881</v>
      </c>
      <c r="H95">
        <f t="shared" si="5"/>
        <v>8.1325607400630276E-4</v>
      </c>
      <c r="I95">
        <f t="shared" si="6"/>
        <v>6.7573274769828541E-4</v>
      </c>
      <c r="J95">
        <f t="shared" si="7"/>
        <v>7.4933333333333338E-2</v>
      </c>
      <c r="K95" t="str">
        <f t="shared" si="8"/>
        <v>$0-$0.05</v>
      </c>
      <c r="L95" t="str">
        <f t="shared" si="9"/>
        <v>0-5</v>
      </c>
    </row>
    <row r="96" spans="1:12" x14ac:dyDescent="0.35">
      <c r="A96" t="s">
        <v>637</v>
      </c>
      <c r="B96" t="s">
        <v>638</v>
      </c>
      <c r="C96">
        <v>184.92</v>
      </c>
      <c r="D96">
        <v>0</v>
      </c>
      <c r="E96">
        <v>0</v>
      </c>
      <c r="F96">
        <v>0.1142</v>
      </c>
      <c r="G96">
        <v>28146110</v>
      </c>
      <c r="H96">
        <f t="shared" si="5"/>
        <v>184.92</v>
      </c>
      <c r="I96">
        <f t="shared" si="6"/>
        <v>165.96661281637046</v>
      </c>
      <c r="J96">
        <f t="shared" si="7"/>
        <v>3.8066666666666665E-2</v>
      </c>
      <c r="K96" t="str">
        <f t="shared" si="8"/>
        <v>&gt;$50</v>
      </c>
      <c r="L96" t="str">
        <f t="shared" si="9"/>
        <v>Above 5</v>
      </c>
    </row>
    <row r="97" spans="1:12" x14ac:dyDescent="0.35">
      <c r="A97" t="s">
        <v>639</v>
      </c>
      <c r="B97" t="s">
        <v>640</v>
      </c>
      <c r="C97">
        <v>2.81</v>
      </c>
      <c r="D97">
        <v>0</v>
      </c>
      <c r="E97">
        <v>3.2000000000000002E-3</v>
      </c>
      <c r="F97">
        <v>1.2999999999999999E-3</v>
      </c>
      <c r="G97">
        <v>28128769</v>
      </c>
      <c r="H97">
        <f t="shared" si="5"/>
        <v>2.8190208667736756</v>
      </c>
      <c r="I97">
        <f t="shared" si="6"/>
        <v>2.8063517427344449</v>
      </c>
      <c r="J97">
        <f t="shared" si="7"/>
        <v>1.5000000000000002E-3</v>
      </c>
      <c r="K97" t="str">
        <f t="shared" si="8"/>
        <v>$0.5-$5</v>
      </c>
      <c r="L97" t="str">
        <f t="shared" si="9"/>
        <v>0-5</v>
      </c>
    </row>
    <row r="98" spans="1:12" x14ac:dyDescent="0.35">
      <c r="A98" t="s">
        <v>268</v>
      </c>
      <c r="B98" t="s">
        <v>269</v>
      </c>
      <c r="C98">
        <v>3.3300000000000003E-2</v>
      </c>
      <c r="D98">
        <v>8.0000000000000002E-3</v>
      </c>
      <c r="E98">
        <v>1.77E-2</v>
      </c>
      <c r="F98">
        <v>0.1137</v>
      </c>
      <c r="G98">
        <v>27981914</v>
      </c>
      <c r="H98">
        <f t="shared" si="5"/>
        <v>3.390003054056806E-2</v>
      </c>
      <c r="I98">
        <f t="shared" si="6"/>
        <v>2.9900332225913626E-2</v>
      </c>
      <c r="J98">
        <f t="shared" si="7"/>
        <v>4.6466666666666663E-2</v>
      </c>
      <c r="K98" t="str">
        <f t="shared" si="8"/>
        <v>$0-$0.05</v>
      </c>
      <c r="L98" t="str">
        <f t="shared" si="9"/>
        <v>0-5</v>
      </c>
    </row>
    <row r="99" spans="1:12" x14ac:dyDescent="0.35">
      <c r="A99" t="s">
        <v>641</v>
      </c>
      <c r="B99" t="s">
        <v>642</v>
      </c>
      <c r="C99">
        <v>1.6199999999999999E-2</v>
      </c>
      <c r="D99">
        <v>0.17449999999999999</v>
      </c>
      <c r="E99">
        <v>6.8999999999999999E-3</v>
      </c>
      <c r="F99">
        <v>6.6626000000000003</v>
      </c>
      <c r="G99">
        <v>28071796</v>
      </c>
      <c r="H99">
        <f t="shared" si="5"/>
        <v>1.6312556640821669E-2</v>
      </c>
      <c r="I99">
        <f t="shared" si="6"/>
        <v>2.1141649048625789E-3</v>
      </c>
      <c r="J99">
        <f t="shared" si="7"/>
        <v>2.2813333333333334</v>
      </c>
      <c r="K99" t="str">
        <f t="shared" si="8"/>
        <v>$0-$0.05</v>
      </c>
      <c r="L99" t="str">
        <f t="shared" si="9"/>
        <v>0-5</v>
      </c>
    </row>
    <row r="100" spans="1:12" x14ac:dyDescent="0.35">
      <c r="A100" t="s">
        <v>247</v>
      </c>
      <c r="B100" t="s">
        <v>248</v>
      </c>
      <c r="C100">
        <v>1.4500000000000001E-2</v>
      </c>
      <c r="D100">
        <v>1.6999999999999999E-3</v>
      </c>
      <c r="E100">
        <v>1.1999999999999999E-3</v>
      </c>
      <c r="F100">
        <v>1.03E-2</v>
      </c>
      <c r="G100">
        <v>27940245</v>
      </c>
      <c r="H100">
        <f t="shared" si="5"/>
        <v>1.4517420905086103E-2</v>
      </c>
      <c r="I100">
        <f t="shared" si="6"/>
        <v>1.4352172621993469E-2</v>
      </c>
      <c r="J100">
        <f t="shared" si="7"/>
        <v>4.4000000000000003E-3</v>
      </c>
      <c r="K100" t="str">
        <f t="shared" si="8"/>
        <v>$0-$0.05</v>
      </c>
      <c r="L100" t="str">
        <f t="shared" si="9"/>
        <v>0-5</v>
      </c>
    </row>
    <row r="101" spans="1:12" x14ac:dyDescent="0.35">
      <c r="A101" t="s">
        <v>643</v>
      </c>
      <c r="B101" t="s">
        <v>644</v>
      </c>
      <c r="C101">
        <v>89.05</v>
      </c>
      <c r="D101">
        <v>0</v>
      </c>
      <c r="E101">
        <v>5.3E-3</v>
      </c>
      <c r="F101">
        <v>1.35E-2</v>
      </c>
      <c r="G101">
        <v>27889892</v>
      </c>
      <c r="H101">
        <f t="shared" si="5"/>
        <v>89.524479742635961</v>
      </c>
      <c r="I101">
        <f t="shared" si="6"/>
        <v>87.86383818450912</v>
      </c>
      <c r="J101">
        <f t="shared" si="7"/>
        <v>6.2666666666666669E-3</v>
      </c>
      <c r="K101" t="str">
        <f t="shared" si="8"/>
        <v>&gt;$50</v>
      </c>
      <c r="L101" t="str">
        <f t="shared" si="9"/>
        <v>Above 5</v>
      </c>
    </row>
    <row r="102" spans="1:12" x14ac:dyDescent="0.35">
      <c r="A102" t="s">
        <v>645</v>
      </c>
      <c r="B102" t="s">
        <v>169</v>
      </c>
      <c r="C102">
        <v>0.29220000000000002</v>
      </c>
      <c r="D102">
        <v>0.01</v>
      </c>
      <c r="E102">
        <v>1.01E-2</v>
      </c>
      <c r="F102">
        <v>0.25800000000000001</v>
      </c>
      <c r="G102">
        <v>27914330</v>
      </c>
      <c r="H102">
        <f t="shared" si="5"/>
        <v>0.29518133144762099</v>
      </c>
      <c r="I102">
        <f t="shared" si="6"/>
        <v>0.23227344992050875</v>
      </c>
      <c r="J102">
        <f t="shared" si="7"/>
        <v>9.2700000000000005E-2</v>
      </c>
      <c r="K102" t="str">
        <f t="shared" si="8"/>
        <v>$0.05-$0.5</v>
      </c>
      <c r="L102" t="str">
        <f t="shared" si="9"/>
        <v>0-5</v>
      </c>
    </row>
    <row r="103" spans="1:12" x14ac:dyDescent="0.35">
      <c r="A103" t="s">
        <v>252</v>
      </c>
      <c r="B103" t="s">
        <v>252</v>
      </c>
      <c r="C103">
        <v>2.53E-2</v>
      </c>
      <c r="D103">
        <v>1.1299999999999999E-2</v>
      </c>
      <c r="E103">
        <v>9.1999999999999998E-3</v>
      </c>
      <c r="F103">
        <v>0.1875</v>
      </c>
      <c r="G103">
        <v>27853861</v>
      </c>
      <c r="H103">
        <f t="shared" si="5"/>
        <v>2.5534921275736779E-2</v>
      </c>
      <c r="I103">
        <f t="shared" si="6"/>
        <v>2.1305263157894737E-2</v>
      </c>
      <c r="J103">
        <f t="shared" si="7"/>
        <v>6.933333333333333E-2</v>
      </c>
      <c r="K103" t="str">
        <f t="shared" si="8"/>
        <v>$0-$0.05</v>
      </c>
      <c r="L103" t="str">
        <f t="shared" si="9"/>
        <v>0-5</v>
      </c>
    </row>
    <row r="104" spans="1:12" x14ac:dyDescent="0.35">
      <c r="A104" t="s">
        <v>646</v>
      </c>
      <c r="B104" t="s">
        <v>647</v>
      </c>
      <c r="C104">
        <v>0.1135</v>
      </c>
      <c r="D104">
        <v>3.0499999999999999E-2</v>
      </c>
      <c r="E104">
        <v>1.8800000000000001E-2</v>
      </c>
      <c r="F104">
        <v>0.25140000000000001</v>
      </c>
      <c r="G104">
        <v>27625415</v>
      </c>
      <c r="H104">
        <f t="shared" si="5"/>
        <v>0.11567468406033429</v>
      </c>
      <c r="I104">
        <f t="shared" si="6"/>
        <v>9.0698417772095252E-2</v>
      </c>
      <c r="J104">
        <f t="shared" si="7"/>
        <v>0.10023333333333334</v>
      </c>
      <c r="K104" t="str">
        <f t="shared" si="8"/>
        <v>$0.05-$0.5</v>
      </c>
      <c r="L104" t="str">
        <f t="shared" si="9"/>
        <v>0-5</v>
      </c>
    </row>
    <row r="105" spans="1:12" x14ac:dyDescent="0.35">
      <c r="A105" t="s">
        <v>266</v>
      </c>
      <c r="B105" t="s">
        <v>267</v>
      </c>
      <c r="C105">
        <v>1E-4</v>
      </c>
      <c r="D105">
        <v>2.4500000000000001E-2</v>
      </c>
      <c r="E105">
        <v>1.5699999999999999E-2</v>
      </c>
      <c r="F105">
        <v>0.1633</v>
      </c>
      <c r="G105">
        <v>27614054</v>
      </c>
      <c r="H105">
        <f t="shared" si="5"/>
        <v>1.0159504216194251E-4</v>
      </c>
      <c r="I105">
        <f t="shared" si="6"/>
        <v>8.5962348491360784E-5</v>
      </c>
      <c r="J105">
        <f t="shared" si="7"/>
        <v>6.7833333333333343E-2</v>
      </c>
      <c r="K105" t="str">
        <f t="shared" si="8"/>
        <v>$0-$0.05</v>
      </c>
      <c r="L105" t="str">
        <f t="shared" si="9"/>
        <v>0-5</v>
      </c>
    </row>
    <row r="106" spans="1:12" x14ac:dyDescent="0.35">
      <c r="A106" t="s">
        <v>86</v>
      </c>
      <c r="B106" t="s">
        <v>86</v>
      </c>
      <c r="C106">
        <v>1E-3</v>
      </c>
      <c r="D106">
        <v>1.1000000000000001E-3</v>
      </c>
      <c r="E106">
        <v>2.7900000000000001E-2</v>
      </c>
      <c r="F106">
        <v>0.1749</v>
      </c>
      <c r="G106">
        <v>27619868</v>
      </c>
      <c r="H106">
        <f t="shared" si="5"/>
        <v>1.0287007509515484E-3</v>
      </c>
      <c r="I106">
        <f t="shared" si="6"/>
        <v>8.5113626691633328E-4</v>
      </c>
      <c r="J106">
        <f t="shared" si="7"/>
        <v>6.7966666666666661E-2</v>
      </c>
      <c r="K106" t="str">
        <f t="shared" si="8"/>
        <v>$0-$0.05</v>
      </c>
      <c r="L106" t="str">
        <f t="shared" si="9"/>
        <v>0-5</v>
      </c>
    </row>
    <row r="107" spans="1:12" x14ac:dyDescent="0.35">
      <c r="A107" t="s">
        <v>648</v>
      </c>
      <c r="B107" t="s">
        <v>649</v>
      </c>
      <c r="C107">
        <v>4.1099999999999998E-2</v>
      </c>
      <c r="D107">
        <v>2.9999999999999997E-4</v>
      </c>
      <c r="E107">
        <v>1.34E-2</v>
      </c>
      <c r="F107">
        <v>0.2402</v>
      </c>
      <c r="G107">
        <v>20903916</v>
      </c>
      <c r="H107">
        <f t="shared" si="5"/>
        <v>4.1658220150010132E-2</v>
      </c>
      <c r="I107">
        <f t="shared" si="6"/>
        <v>3.3139816158684082E-2</v>
      </c>
      <c r="J107">
        <f t="shared" si="7"/>
        <v>8.4633333333333338E-2</v>
      </c>
      <c r="K107" t="str">
        <f t="shared" si="8"/>
        <v>$0-$0.05</v>
      </c>
      <c r="L107" t="str">
        <f t="shared" si="9"/>
        <v>0-5</v>
      </c>
    </row>
    <row r="108" spans="1:12" x14ac:dyDescent="0.35">
      <c r="A108" t="s">
        <v>650</v>
      </c>
      <c r="B108" t="s">
        <v>651</v>
      </c>
      <c r="C108">
        <v>8.3000000000000001E-3</v>
      </c>
      <c r="D108">
        <v>3.0800000000000001E-2</v>
      </c>
      <c r="E108">
        <v>3.4099999999999998E-2</v>
      </c>
      <c r="F108">
        <v>0.157</v>
      </c>
      <c r="G108">
        <v>20778058</v>
      </c>
      <c r="H108">
        <f t="shared" si="5"/>
        <v>8.5930220519722534E-3</v>
      </c>
      <c r="I108">
        <f t="shared" si="6"/>
        <v>7.1737251512532414E-3</v>
      </c>
      <c r="J108">
        <f t="shared" si="7"/>
        <v>7.3966666666666667E-2</v>
      </c>
      <c r="K108" t="str">
        <f t="shared" si="8"/>
        <v>$0-$0.05</v>
      </c>
      <c r="L108" t="str">
        <f t="shared" si="9"/>
        <v>0-5</v>
      </c>
    </row>
    <row r="109" spans="1:12" x14ac:dyDescent="0.35">
      <c r="A109" t="s">
        <v>652</v>
      </c>
      <c r="B109" t="s">
        <v>653</v>
      </c>
      <c r="C109">
        <v>2.3E-2</v>
      </c>
      <c r="D109">
        <v>4.6399999999999997E-2</v>
      </c>
      <c r="E109">
        <v>6.0000000000000001E-3</v>
      </c>
      <c r="F109">
        <v>0.41310000000000002</v>
      </c>
      <c r="G109">
        <v>20680466</v>
      </c>
      <c r="H109">
        <f t="shared" si="5"/>
        <v>2.3138832997987926E-2</v>
      </c>
      <c r="I109">
        <f t="shared" si="6"/>
        <v>1.6276272026042034E-2</v>
      </c>
      <c r="J109">
        <f t="shared" si="7"/>
        <v>0.15516666666666667</v>
      </c>
      <c r="K109" t="str">
        <f t="shared" si="8"/>
        <v>$0-$0.05</v>
      </c>
      <c r="L109" t="str">
        <f t="shared" si="9"/>
        <v>0-5</v>
      </c>
    </row>
    <row r="110" spans="1:12" x14ac:dyDescent="0.35">
      <c r="A110" t="s">
        <v>270</v>
      </c>
      <c r="B110" t="s">
        <v>271</v>
      </c>
      <c r="C110">
        <v>3.7400000000000003E-2</v>
      </c>
      <c r="D110">
        <v>8.9999999999999998E-4</v>
      </c>
      <c r="E110">
        <v>1.77E-2</v>
      </c>
      <c r="F110">
        <v>0.1938</v>
      </c>
      <c r="G110">
        <v>20717511</v>
      </c>
      <c r="H110">
        <f t="shared" si="5"/>
        <v>3.8073908174692056E-2</v>
      </c>
      <c r="I110">
        <f t="shared" si="6"/>
        <v>3.1328530742167869E-2</v>
      </c>
      <c r="J110">
        <f t="shared" si="7"/>
        <v>7.0800000000000002E-2</v>
      </c>
      <c r="K110" t="str">
        <f t="shared" si="8"/>
        <v>$0-$0.05</v>
      </c>
      <c r="L110" t="str">
        <f t="shared" si="9"/>
        <v>0-5</v>
      </c>
    </row>
    <row r="111" spans="1:12" x14ac:dyDescent="0.35">
      <c r="A111" t="s">
        <v>278</v>
      </c>
      <c r="B111" t="s">
        <v>279</v>
      </c>
      <c r="C111">
        <v>1.15E-2</v>
      </c>
      <c r="D111">
        <v>8.0999999999999996E-3</v>
      </c>
      <c r="E111">
        <v>2.5999999999999999E-3</v>
      </c>
      <c r="F111">
        <v>6.2100000000000002E-2</v>
      </c>
      <c r="G111">
        <v>20545288</v>
      </c>
      <c r="H111">
        <f t="shared" si="5"/>
        <v>1.1529977942650893E-2</v>
      </c>
      <c r="I111">
        <f t="shared" si="6"/>
        <v>1.0827605686846813E-2</v>
      </c>
      <c r="J111">
        <f t="shared" si="7"/>
        <v>2.4266666666666669E-2</v>
      </c>
      <c r="K111" t="str">
        <f t="shared" si="8"/>
        <v>$0-$0.05</v>
      </c>
      <c r="L111" t="str">
        <f t="shared" si="9"/>
        <v>0-5</v>
      </c>
    </row>
    <row r="112" spans="1:12" x14ac:dyDescent="0.35">
      <c r="A112" t="s">
        <v>287</v>
      </c>
      <c r="B112" t="s">
        <v>288</v>
      </c>
      <c r="C112">
        <v>8.2000000000000003E-2</v>
      </c>
      <c r="D112">
        <v>1.72E-2</v>
      </c>
      <c r="E112">
        <v>2.64E-2</v>
      </c>
      <c r="F112">
        <v>0.19189999999999999</v>
      </c>
      <c r="G112">
        <v>20505217</v>
      </c>
      <c r="H112">
        <f t="shared" si="5"/>
        <v>8.422350041084635E-2</v>
      </c>
      <c r="I112">
        <f t="shared" si="6"/>
        <v>6.8797717929356489E-2</v>
      </c>
      <c r="J112">
        <f t="shared" si="7"/>
        <v>7.85E-2</v>
      </c>
      <c r="K112" t="str">
        <f t="shared" si="8"/>
        <v>$0.05-$0.5</v>
      </c>
      <c r="L112" t="str">
        <f t="shared" si="9"/>
        <v>0-5</v>
      </c>
    </row>
    <row r="113" spans="1:12" x14ac:dyDescent="0.35">
      <c r="A113" t="s">
        <v>654</v>
      </c>
      <c r="B113" t="s">
        <v>655</v>
      </c>
      <c r="C113">
        <v>4.1799999999999997E-2</v>
      </c>
      <c r="D113">
        <v>1.1000000000000001E-3</v>
      </c>
      <c r="E113">
        <v>5.8900000000000001E-2</v>
      </c>
      <c r="F113">
        <v>0.24299999999999999</v>
      </c>
      <c r="G113">
        <v>20486204</v>
      </c>
      <c r="H113">
        <f t="shared" si="5"/>
        <v>4.4416108808840712E-2</v>
      </c>
      <c r="I113">
        <f t="shared" si="6"/>
        <v>3.3628318584070796E-2</v>
      </c>
      <c r="J113">
        <f t="shared" si="7"/>
        <v>0.10099999999999999</v>
      </c>
      <c r="K113" t="str">
        <f t="shared" si="8"/>
        <v>$0-$0.05</v>
      </c>
      <c r="L113" t="str">
        <f t="shared" si="9"/>
        <v>0-5</v>
      </c>
    </row>
    <row r="114" spans="1:12" x14ac:dyDescent="0.35">
      <c r="A114" t="s">
        <v>656</v>
      </c>
      <c r="B114" t="s">
        <v>657</v>
      </c>
      <c r="C114">
        <v>0.20780000000000001</v>
      </c>
      <c r="D114">
        <v>6.8999999999999999E-3</v>
      </c>
      <c r="E114">
        <v>2.3099999999999999E-2</v>
      </c>
      <c r="F114">
        <v>9.8599999999999993E-2</v>
      </c>
      <c r="G114">
        <v>20481740</v>
      </c>
      <c r="H114">
        <f t="shared" si="5"/>
        <v>0.21271368615006656</v>
      </c>
      <c r="I114">
        <f t="shared" si="6"/>
        <v>0.18914982705261243</v>
      </c>
      <c r="J114">
        <f t="shared" si="7"/>
        <v>4.2866666666666664E-2</v>
      </c>
      <c r="K114" t="str">
        <f t="shared" si="8"/>
        <v>$0.05-$0.5</v>
      </c>
      <c r="L114" t="str">
        <f t="shared" si="9"/>
        <v>0-5</v>
      </c>
    </row>
    <row r="115" spans="1:12" x14ac:dyDescent="0.35">
      <c r="A115" t="s">
        <v>291</v>
      </c>
      <c r="B115" t="s">
        <v>292</v>
      </c>
      <c r="C115">
        <v>2.9999999999999997E-4</v>
      </c>
      <c r="D115">
        <v>1.7600000000000001E-2</v>
      </c>
      <c r="E115">
        <v>8.9999999999999998E-4</v>
      </c>
      <c r="F115">
        <v>0.21149999999999999</v>
      </c>
      <c r="G115">
        <v>20450868</v>
      </c>
      <c r="H115">
        <f t="shared" si="5"/>
        <v>3.00270243218897E-4</v>
      </c>
      <c r="I115">
        <f t="shared" si="6"/>
        <v>2.4762690879075525E-4</v>
      </c>
      <c r="J115">
        <f t="shared" si="7"/>
        <v>7.6666666666666661E-2</v>
      </c>
      <c r="K115" t="str">
        <f t="shared" si="8"/>
        <v>$0-$0.05</v>
      </c>
      <c r="L115" t="str">
        <f t="shared" si="9"/>
        <v>0-5</v>
      </c>
    </row>
    <row r="116" spans="1:12" x14ac:dyDescent="0.35">
      <c r="A116" t="s">
        <v>285</v>
      </c>
      <c r="B116" t="s">
        <v>286</v>
      </c>
      <c r="C116">
        <v>9.8799999999999999E-2</v>
      </c>
      <c r="D116">
        <v>2.9999999999999997E-4</v>
      </c>
      <c r="E116">
        <v>3.0999999999999999E-3</v>
      </c>
      <c r="F116">
        <v>0.18260000000000001</v>
      </c>
      <c r="G116">
        <v>20408565</v>
      </c>
      <c r="H116">
        <f t="shared" si="5"/>
        <v>9.9107232420503566E-2</v>
      </c>
      <c r="I116">
        <f t="shared" si="6"/>
        <v>8.3544731946558426E-2</v>
      </c>
      <c r="J116">
        <f t="shared" si="7"/>
        <v>6.2E-2</v>
      </c>
      <c r="K116" t="str">
        <f t="shared" si="8"/>
        <v>$0.05-$0.5</v>
      </c>
      <c r="L116" t="str">
        <f t="shared" si="9"/>
        <v>0-5</v>
      </c>
    </row>
    <row r="117" spans="1:12" x14ac:dyDescent="0.35">
      <c r="A117" t="s">
        <v>89</v>
      </c>
      <c r="B117" t="s">
        <v>90</v>
      </c>
      <c r="C117">
        <v>8.9599999999999999E-2</v>
      </c>
      <c r="D117">
        <v>1.5100000000000001E-2</v>
      </c>
      <c r="E117">
        <v>1.1900000000000001E-2</v>
      </c>
      <c r="F117">
        <v>0.16520000000000001</v>
      </c>
      <c r="G117">
        <v>20249745</v>
      </c>
      <c r="H117">
        <f t="shared" si="5"/>
        <v>9.067908106466957E-2</v>
      </c>
      <c r="I117">
        <f t="shared" si="6"/>
        <v>7.6896670099553727E-2</v>
      </c>
      <c r="J117">
        <f t="shared" si="7"/>
        <v>6.4066666666666675E-2</v>
      </c>
      <c r="K117" t="str">
        <f t="shared" si="8"/>
        <v>$0.05-$0.5</v>
      </c>
      <c r="L117" t="str">
        <f t="shared" si="9"/>
        <v>0-5</v>
      </c>
    </row>
    <row r="118" spans="1:12" x14ac:dyDescent="0.35">
      <c r="A118" t="s">
        <v>283</v>
      </c>
      <c r="B118" t="s">
        <v>284</v>
      </c>
      <c r="C118">
        <v>0.12620000000000001</v>
      </c>
      <c r="D118">
        <v>1.0699999999999999E-2</v>
      </c>
      <c r="E118">
        <v>5.0000000000000001E-4</v>
      </c>
      <c r="F118">
        <v>0.18529999999999999</v>
      </c>
      <c r="G118">
        <v>20210740</v>
      </c>
      <c r="H118">
        <f t="shared" si="5"/>
        <v>0.12626313156578289</v>
      </c>
      <c r="I118">
        <f t="shared" si="6"/>
        <v>0.10647093562811102</v>
      </c>
      <c r="J118">
        <f t="shared" si="7"/>
        <v>6.5499999999999989E-2</v>
      </c>
      <c r="K118" t="str">
        <f t="shared" si="8"/>
        <v>$0.05-$0.5</v>
      </c>
      <c r="L118" t="str">
        <f t="shared" si="9"/>
        <v>0-5</v>
      </c>
    </row>
    <row r="119" spans="1:12" x14ac:dyDescent="0.35">
      <c r="A119" t="s">
        <v>1</v>
      </c>
      <c r="B119" t="s">
        <v>658</v>
      </c>
      <c r="C119">
        <v>3.0999999999999999E-3</v>
      </c>
      <c r="D119">
        <v>3.3000000000000002E-2</v>
      </c>
      <c r="E119">
        <v>5.5500000000000001E-2</v>
      </c>
      <c r="F119">
        <v>0.18149999999999999</v>
      </c>
      <c r="G119">
        <v>20197745</v>
      </c>
      <c r="H119">
        <f t="shared" si="5"/>
        <v>3.2821598729486498E-3</v>
      </c>
      <c r="I119">
        <f t="shared" si="6"/>
        <v>2.6237833262801524E-3</v>
      </c>
      <c r="J119">
        <f t="shared" si="7"/>
        <v>9.0000000000000011E-2</v>
      </c>
      <c r="K119" t="str">
        <f t="shared" si="8"/>
        <v>$0-$0.05</v>
      </c>
      <c r="L119" t="str">
        <f t="shared" si="9"/>
        <v>0-5</v>
      </c>
    </row>
    <row r="120" spans="1:12" x14ac:dyDescent="0.35">
      <c r="A120" t="s">
        <v>276</v>
      </c>
      <c r="B120" t="s">
        <v>277</v>
      </c>
      <c r="C120">
        <v>8.8000000000000005E-3</v>
      </c>
      <c r="D120">
        <v>1.7299999999999999E-2</v>
      </c>
      <c r="E120">
        <v>9.5999999999999992E-3</v>
      </c>
      <c r="F120">
        <v>0.2208</v>
      </c>
      <c r="G120">
        <v>20184555</v>
      </c>
      <c r="H120">
        <f t="shared" si="5"/>
        <v>8.8852988691437811E-3</v>
      </c>
      <c r="I120">
        <f t="shared" si="6"/>
        <v>7.2083879423328959E-3</v>
      </c>
      <c r="J120">
        <f t="shared" si="7"/>
        <v>8.2566666666666663E-2</v>
      </c>
      <c r="K120" t="str">
        <f t="shared" si="8"/>
        <v>$0-$0.05</v>
      </c>
      <c r="L120" t="str">
        <f t="shared" si="9"/>
        <v>0-5</v>
      </c>
    </row>
    <row r="121" spans="1:12" x14ac:dyDescent="0.35">
      <c r="A121" t="s">
        <v>659</v>
      </c>
      <c r="B121" t="s">
        <v>660</v>
      </c>
      <c r="C121">
        <v>4.78</v>
      </c>
      <c r="D121">
        <v>1.3100000000000001E-2</v>
      </c>
      <c r="E121">
        <v>1.5100000000000001E-2</v>
      </c>
      <c r="F121">
        <v>0.2084</v>
      </c>
      <c r="G121">
        <v>20176681</v>
      </c>
      <c r="H121">
        <f t="shared" si="5"/>
        <v>4.8532845974210579</v>
      </c>
      <c r="I121">
        <f t="shared" si="6"/>
        <v>3.9556438265475014</v>
      </c>
      <c r="J121">
        <f t="shared" si="7"/>
        <v>7.8866666666666668E-2</v>
      </c>
      <c r="K121" t="str">
        <f t="shared" si="8"/>
        <v>$0.5-$5</v>
      </c>
      <c r="L121" t="str">
        <f t="shared" si="9"/>
        <v>0-5</v>
      </c>
    </row>
    <row r="122" spans="1:12" x14ac:dyDescent="0.35">
      <c r="A122" t="s">
        <v>661</v>
      </c>
      <c r="B122" t="s">
        <v>662</v>
      </c>
      <c r="C122">
        <v>1.7399999999999999E-2</v>
      </c>
      <c r="D122">
        <v>3.0999999999999999E-3</v>
      </c>
      <c r="E122">
        <v>4.8999999999999998E-3</v>
      </c>
      <c r="F122">
        <v>0.15190000000000001</v>
      </c>
      <c r="G122">
        <v>15774899</v>
      </c>
      <c r="H122">
        <f t="shared" si="5"/>
        <v>1.7485679831172746E-2</v>
      </c>
      <c r="I122">
        <f t="shared" si="6"/>
        <v>1.5105477906068235E-2</v>
      </c>
      <c r="J122">
        <f t="shared" si="7"/>
        <v>5.3300000000000007E-2</v>
      </c>
      <c r="K122" t="str">
        <f t="shared" si="8"/>
        <v>$0-$0.05</v>
      </c>
      <c r="L122" t="str">
        <f t="shared" si="9"/>
        <v>0-5</v>
      </c>
    </row>
    <row r="123" spans="1:12" x14ac:dyDescent="0.35">
      <c r="A123" t="s">
        <v>93</v>
      </c>
      <c r="B123" t="s">
        <v>94</v>
      </c>
      <c r="C123">
        <v>0.40629999999999999</v>
      </c>
      <c r="D123">
        <v>8.8000000000000005E-3</v>
      </c>
      <c r="E123">
        <v>2.1700000000000001E-2</v>
      </c>
      <c r="F123">
        <v>9.8100000000000007E-2</v>
      </c>
      <c r="G123">
        <v>15746759</v>
      </c>
      <c r="H123">
        <f t="shared" si="5"/>
        <v>0.41531227639783297</v>
      </c>
      <c r="I123">
        <f t="shared" si="6"/>
        <v>0.37000273199162187</v>
      </c>
      <c r="J123">
        <f t="shared" si="7"/>
        <v>4.2866666666666664E-2</v>
      </c>
      <c r="K123" t="str">
        <f t="shared" si="8"/>
        <v>$0.05-$0.5</v>
      </c>
      <c r="L123" t="str">
        <f t="shared" si="9"/>
        <v>0-5</v>
      </c>
    </row>
    <row r="124" spans="1:12" x14ac:dyDescent="0.35">
      <c r="A124" t="s">
        <v>309</v>
      </c>
      <c r="B124" t="s">
        <v>310</v>
      </c>
      <c r="C124">
        <v>4.0399999999999998E-2</v>
      </c>
      <c r="D124">
        <v>1.9199999999999998E-2</v>
      </c>
      <c r="E124">
        <v>3.0499999999999999E-2</v>
      </c>
      <c r="F124">
        <v>0.1678</v>
      </c>
      <c r="G124">
        <v>15689424</v>
      </c>
      <c r="H124">
        <f t="shared" si="5"/>
        <v>4.1670964414646725E-2</v>
      </c>
      <c r="I124">
        <f t="shared" si="6"/>
        <v>3.4594964891248504E-2</v>
      </c>
      <c r="J124">
        <f t="shared" si="7"/>
        <v>7.2499999999999995E-2</v>
      </c>
      <c r="K124" t="str">
        <f t="shared" si="8"/>
        <v>$0-$0.05</v>
      </c>
      <c r="L124" t="str">
        <f t="shared" si="9"/>
        <v>0-5</v>
      </c>
    </row>
    <row r="125" spans="1:12" x14ac:dyDescent="0.35">
      <c r="A125" t="s">
        <v>663</v>
      </c>
      <c r="B125" t="s">
        <v>664</v>
      </c>
      <c r="C125">
        <v>4.0399999999999998E-2</v>
      </c>
      <c r="D125">
        <v>2.1299999999999999E-2</v>
      </c>
      <c r="E125">
        <v>1.2500000000000001E-2</v>
      </c>
      <c r="F125">
        <v>0.246</v>
      </c>
      <c r="G125">
        <v>15653272</v>
      </c>
      <c r="H125">
        <f t="shared" si="5"/>
        <v>4.0911392405063286E-2</v>
      </c>
      <c r="I125">
        <f t="shared" si="6"/>
        <v>3.2423756019261639E-2</v>
      </c>
      <c r="J125">
        <f t="shared" si="7"/>
        <v>9.3266666666666664E-2</v>
      </c>
      <c r="K125" t="str">
        <f t="shared" si="8"/>
        <v>$0-$0.05</v>
      </c>
      <c r="L125" t="str">
        <f t="shared" si="9"/>
        <v>0-5</v>
      </c>
    </row>
    <row r="126" spans="1:12" x14ac:dyDescent="0.35">
      <c r="A126" t="s">
        <v>302</v>
      </c>
      <c r="B126" t="s">
        <v>303</v>
      </c>
      <c r="C126">
        <v>1.28</v>
      </c>
      <c r="D126">
        <v>2.1499999999999998E-2</v>
      </c>
      <c r="E126">
        <v>6.25E-2</v>
      </c>
      <c r="F126">
        <v>0.2487</v>
      </c>
      <c r="G126">
        <v>15652298</v>
      </c>
      <c r="H126">
        <f t="shared" si="5"/>
        <v>1.3653333333333333</v>
      </c>
      <c r="I126">
        <f t="shared" si="6"/>
        <v>1.0250660687114601</v>
      </c>
      <c r="J126">
        <f t="shared" si="7"/>
        <v>0.1109</v>
      </c>
      <c r="K126" t="str">
        <f t="shared" si="8"/>
        <v>$0.5-$5</v>
      </c>
      <c r="L126" t="str">
        <f t="shared" si="9"/>
        <v>0-5</v>
      </c>
    </row>
    <row r="127" spans="1:12" x14ac:dyDescent="0.35">
      <c r="A127" t="s">
        <v>665</v>
      </c>
      <c r="B127" t="s">
        <v>666</v>
      </c>
      <c r="C127">
        <v>5.0000000000000001E-4</v>
      </c>
      <c r="D127">
        <v>1E-4</v>
      </c>
      <c r="E127">
        <v>9.4999999999999998E-3</v>
      </c>
      <c r="F127">
        <v>0.1807</v>
      </c>
      <c r="G127">
        <v>15577742</v>
      </c>
      <c r="H127">
        <f t="shared" si="5"/>
        <v>5.0479555779909136E-4</v>
      </c>
      <c r="I127">
        <f t="shared" si="6"/>
        <v>4.2347759803506392E-4</v>
      </c>
      <c r="J127">
        <f t="shared" si="7"/>
        <v>6.3433333333333328E-2</v>
      </c>
      <c r="K127" t="str">
        <f t="shared" si="8"/>
        <v>$0-$0.05</v>
      </c>
      <c r="L127" t="str">
        <f t="shared" si="9"/>
        <v>0-5</v>
      </c>
    </row>
    <row r="128" spans="1:12" x14ac:dyDescent="0.35">
      <c r="A128" t="s">
        <v>667</v>
      </c>
      <c r="B128" t="s">
        <v>668</v>
      </c>
      <c r="C128">
        <v>8.9999999999999998E-4</v>
      </c>
      <c r="D128">
        <v>6.7000000000000002E-3</v>
      </c>
      <c r="E128">
        <v>3.1399999999999997E-2</v>
      </c>
      <c r="F128">
        <v>1.5100000000000001E-2</v>
      </c>
      <c r="G128">
        <v>15481106</v>
      </c>
      <c r="H128">
        <f t="shared" si="5"/>
        <v>9.2917613049762538E-4</v>
      </c>
      <c r="I128">
        <f t="shared" si="6"/>
        <v>8.8661215643778943E-4</v>
      </c>
      <c r="J128">
        <f t="shared" si="7"/>
        <v>1.7733333333333334E-2</v>
      </c>
      <c r="K128" t="str">
        <f t="shared" si="8"/>
        <v>$0-$0.05</v>
      </c>
      <c r="L128" t="str">
        <f t="shared" si="9"/>
        <v>0-5</v>
      </c>
    </row>
    <row r="129" spans="1:12" x14ac:dyDescent="0.35">
      <c r="A129" t="s">
        <v>669</v>
      </c>
      <c r="B129" t="s">
        <v>669</v>
      </c>
      <c r="C129">
        <v>1.54E-2</v>
      </c>
      <c r="D129">
        <v>1.26E-2</v>
      </c>
      <c r="E129">
        <v>4.0899999999999999E-2</v>
      </c>
      <c r="F129">
        <v>0.12759999999999999</v>
      </c>
      <c r="G129">
        <v>15426293</v>
      </c>
      <c r="H129">
        <f t="shared" si="5"/>
        <v>1.6056719841518092E-2</v>
      </c>
      <c r="I129">
        <f t="shared" si="6"/>
        <v>1.3657325292656971E-2</v>
      </c>
      <c r="J129">
        <f t="shared" si="7"/>
        <v>6.0366666666666659E-2</v>
      </c>
      <c r="K129" t="str">
        <f t="shared" si="8"/>
        <v>$0-$0.05</v>
      </c>
      <c r="L129" t="str">
        <f t="shared" si="9"/>
        <v>0-5</v>
      </c>
    </row>
    <row r="130" spans="1:12" x14ac:dyDescent="0.35">
      <c r="A130" t="s">
        <v>670</v>
      </c>
      <c r="B130" t="s">
        <v>671</v>
      </c>
      <c r="C130">
        <v>4.88</v>
      </c>
      <c r="D130">
        <v>2.3099999999999999E-2</v>
      </c>
      <c r="E130">
        <v>2.3099999999999999E-2</v>
      </c>
      <c r="F130">
        <v>0.18260000000000001</v>
      </c>
      <c r="G130">
        <v>15314524</v>
      </c>
      <c r="H130">
        <f t="shared" ref="H130:H193" si="10">C130/(1-E130)</f>
        <v>4.9953935919746133</v>
      </c>
      <c r="I130">
        <f t="shared" ref="I130:I193" si="11">C130/(1+F130)</f>
        <v>4.126500930153898</v>
      </c>
      <c r="J130">
        <f t="shared" ref="J130:J193" si="12">AVERAGE(D130,E130,F130)</f>
        <v>7.6266666666666663E-2</v>
      </c>
      <c r="K130" t="str">
        <f t="shared" ref="K130:K193" si="13">IF(C130&lt;=0.05,"$0-$0.05",
IF(C130&lt;=0.5,"$0.05-$0.5",
IF(C130&lt;=5,"$0.5-$5",
IF(C130&lt;=50,"$5-$50",
"&gt;$50"))))</f>
        <v>$0.5-$5</v>
      </c>
      <c r="L130" t="str">
        <f t="shared" ref="L130:L193" si="14">IF(AND(C130&gt;=0,C130&lt;=5),"0-5","Above 5")</f>
        <v>0-5</v>
      </c>
    </row>
    <row r="131" spans="1:12" x14ac:dyDescent="0.35">
      <c r="A131" t="s">
        <v>672</v>
      </c>
      <c r="B131" t="s">
        <v>673</v>
      </c>
      <c r="C131">
        <v>6.6E-3</v>
      </c>
      <c r="D131">
        <v>4.4999999999999997E-3</v>
      </c>
      <c r="E131">
        <v>7.1000000000000004E-3</v>
      </c>
      <c r="F131">
        <v>0.1057</v>
      </c>
      <c r="G131">
        <v>15294077</v>
      </c>
      <c r="H131">
        <f t="shared" si="10"/>
        <v>6.6471950851042403E-3</v>
      </c>
      <c r="I131">
        <f t="shared" si="11"/>
        <v>5.9690693678212904E-3</v>
      </c>
      <c r="J131">
        <f t="shared" si="12"/>
        <v>3.9100000000000003E-2</v>
      </c>
      <c r="K131" t="str">
        <f t="shared" si="13"/>
        <v>$0-$0.05</v>
      </c>
      <c r="L131" t="str">
        <f t="shared" si="14"/>
        <v>0-5</v>
      </c>
    </row>
    <row r="132" spans="1:12" x14ac:dyDescent="0.35">
      <c r="A132" t="s">
        <v>674</v>
      </c>
      <c r="B132" t="s">
        <v>675</v>
      </c>
      <c r="C132">
        <v>0.1026</v>
      </c>
      <c r="D132">
        <v>2.23E-2</v>
      </c>
      <c r="E132">
        <v>2.3099999999999999E-2</v>
      </c>
      <c r="F132">
        <v>0.1666</v>
      </c>
      <c r="G132">
        <v>15237190</v>
      </c>
      <c r="H132">
        <f t="shared" si="10"/>
        <v>0.10502610297881051</v>
      </c>
      <c r="I132">
        <f t="shared" si="11"/>
        <v>8.7947882736156349E-2</v>
      </c>
      <c r="J132">
        <f t="shared" si="12"/>
        <v>7.0666666666666669E-2</v>
      </c>
      <c r="K132" t="str">
        <f t="shared" si="13"/>
        <v>$0.05-$0.5</v>
      </c>
      <c r="L132" t="str">
        <f t="shared" si="14"/>
        <v>0-5</v>
      </c>
    </row>
    <row r="133" spans="1:12" x14ac:dyDescent="0.35">
      <c r="A133" t="s">
        <v>304</v>
      </c>
      <c r="B133" t="s">
        <v>305</v>
      </c>
      <c r="C133">
        <v>6.3E-2</v>
      </c>
      <c r="D133">
        <v>4.1000000000000003E-3</v>
      </c>
      <c r="E133">
        <v>1.6E-2</v>
      </c>
      <c r="F133">
        <v>0.1012</v>
      </c>
      <c r="G133">
        <v>15218667</v>
      </c>
      <c r="H133">
        <f t="shared" si="10"/>
        <v>6.402439024390244E-2</v>
      </c>
      <c r="I133">
        <f t="shared" si="11"/>
        <v>5.7210316018888485E-2</v>
      </c>
      <c r="J133">
        <f t="shared" si="12"/>
        <v>4.0433333333333328E-2</v>
      </c>
      <c r="K133" t="str">
        <f t="shared" si="13"/>
        <v>$0.05-$0.5</v>
      </c>
      <c r="L133" t="str">
        <f t="shared" si="14"/>
        <v>0-5</v>
      </c>
    </row>
    <row r="134" spans="1:12" x14ac:dyDescent="0.35">
      <c r="A134" t="s">
        <v>676</v>
      </c>
      <c r="B134" t="s">
        <v>677</v>
      </c>
      <c r="C134">
        <v>5.04E-2</v>
      </c>
      <c r="D134">
        <v>1.7500000000000002E-2</v>
      </c>
      <c r="E134">
        <v>1.44E-2</v>
      </c>
      <c r="F134">
        <v>0.20100000000000001</v>
      </c>
      <c r="G134">
        <v>15172684</v>
      </c>
      <c r="H134">
        <f t="shared" si="10"/>
        <v>5.1136363636363633E-2</v>
      </c>
      <c r="I134">
        <f t="shared" si="11"/>
        <v>4.1965029142381344E-2</v>
      </c>
      <c r="J134">
        <f t="shared" si="12"/>
        <v>7.7633333333333332E-2</v>
      </c>
      <c r="K134" t="str">
        <f t="shared" si="13"/>
        <v>$0.05-$0.5</v>
      </c>
      <c r="L134" t="str">
        <f t="shared" si="14"/>
        <v>0-5</v>
      </c>
    </row>
    <row r="135" spans="1:12" x14ac:dyDescent="0.35">
      <c r="A135" t="s">
        <v>315</v>
      </c>
      <c r="B135" t="s">
        <v>315</v>
      </c>
      <c r="C135">
        <v>6.8999999999999999E-3</v>
      </c>
      <c r="D135">
        <v>5.0000000000000001E-4</v>
      </c>
      <c r="E135">
        <v>8.4699999999999998E-2</v>
      </c>
      <c r="F135">
        <v>0.23230000000000001</v>
      </c>
      <c r="G135">
        <v>15104565</v>
      </c>
      <c r="H135">
        <f t="shared" si="10"/>
        <v>7.5385119632907244E-3</v>
      </c>
      <c r="I135">
        <f t="shared" si="11"/>
        <v>5.5992858881765807E-3</v>
      </c>
      <c r="J135">
        <f t="shared" si="12"/>
        <v>0.10583333333333333</v>
      </c>
      <c r="K135" t="str">
        <f t="shared" si="13"/>
        <v>$0-$0.05</v>
      </c>
      <c r="L135" t="str">
        <f t="shared" si="14"/>
        <v>0-5</v>
      </c>
    </row>
    <row r="136" spans="1:12" x14ac:dyDescent="0.35">
      <c r="A136" t="s">
        <v>295</v>
      </c>
      <c r="B136" t="s">
        <v>295</v>
      </c>
      <c r="C136">
        <v>0.126</v>
      </c>
      <c r="D136">
        <v>1.12E-2</v>
      </c>
      <c r="E136">
        <v>1.5E-3</v>
      </c>
      <c r="F136">
        <v>0.24129999999999999</v>
      </c>
      <c r="G136">
        <v>15086774</v>
      </c>
      <c r="H136">
        <f t="shared" si="10"/>
        <v>0.12618928392588882</v>
      </c>
      <c r="I136">
        <f t="shared" si="11"/>
        <v>0.10150648513655039</v>
      </c>
      <c r="J136">
        <f t="shared" si="12"/>
        <v>8.4666666666666668E-2</v>
      </c>
      <c r="K136" t="str">
        <f t="shared" si="13"/>
        <v>$0.05-$0.5</v>
      </c>
      <c r="L136" t="str">
        <f t="shared" si="14"/>
        <v>0-5</v>
      </c>
    </row>
    <row r="137" spans="1:12" x14ac:dyDescent="0.35">
      <c r="A137" t="s">
        <v>332</v>
      </c>
      <c r="B137" t="s">
        <v>333</v>
      </c>
      <c r="C137">
        <v>2.5700000000000001E-2</v>
      </c>
      <c r="D137">
        <v>1.7899999999999999E-2</v>
      </c>
      <c r="E137">
        <v>3.0200000000000001E-2</v>
      </c>
      <c r="F137">
        <v>0.19819999999999999</v>
      </c>
      <c r="G137">
        <v>11892010</v>
      </c>
      <c r="H137">
        <f t="shared" si="10"/>
        <v>2.6500309342132398E-2</v>
      </c>
      <c r="I137">
        <f t="shared" si="11"/>
        <v>2.1448839926556502E-2</v>
      </c>
      <c r="J137">
        <f t="shared" si="12"/>
        <v>8.2099999999999992E-2</v>
      </c>
      <c r="K137" t="str">
        <f t="shared" si="13"/>
        <v>$0-$0.05</v>
      </c>
      <c r="L137" t="str">
        <f t="shared" si="14"/>
        <v>0-5</v>
      </c>
    </row>
    <row r="138" spans="1:12" x14ac:dyDescent="0.35">
      <c r="A138" t="s">
        <v>678</v>
      </c>
      <c r="B138" t="s">
        <v>679</v>
      </c>
      <c r="C138">
        <v>5.2699999999999997E-2</v>
      </c>
      <c r="D138">
        <v>1.89E-2</v>
      </c>
      <c r="E138">
        <v>1.3899999999999999E-2</v>
      </c>
      <c r="F138">
        <v>0.10589999999999999</v>
      </c>
      <c r="G138">
        <v>11874415</v>
      </c>
      <c r="H138">
        <f t="shared" si="10"/>
        <v>5.3442855694148667E-2</v>
      </c>
      <c r="I138">
        <f t="shared" si="11"/>
        <v>4.7653494891038962E-2</v>
      </c>
      <c r="J138">
        <f t="shared" si="12"/>
        <v>4.6233333333333328E-2</v>
      </c>
      <c r="K138" t="str">
        <f t="shared" si="13"/>
        <v>$0.05-$0.5</v>
      </c>
      <c r="L138" t="str">
        <f t="shared" si="14"/>
        <v>0-5</v>
      </c>
    </row>
    <row r="139" spans="1:12" x14ac:dyDescent="0.35">
      <c r="A139" t="s">
        <v>680</v>
      </c>
      <c r="B139" t="s">
        <v>681</v>
      </c>
      <c r="C139">
        <v>0.44219999999999998</v>
      </c>
      <c r="D139">
        <v>2.6700000000000002E-2</v>
      </c>
      <c r="E139">
        <v>0.21540000000000001</v>
      </c>
      <c r="F139">
        <v>5.79E-2</v>
      </c>
      <c r="G139">
        <v>11854701</v>
      </c>
      <c r="H139">
        <f t="shared" si="10"/>
        <v>0.56359928626051492</v>
      </c>
      <c r="I139">
        <f t="shared" si="11"/>
        <v>0.41799792040835615</v>
      </c>
      <c r="J139">
        <f t="shared" si="12"/>
        <v>9.9999999999999992E-2</v>
      </c>
      <c r="K139" t="str">
        <f t="shared" si="13"/>
        <v>$0.05-$0.5</v>
      </c>
      <c r="L139" t="str">
        <f t="shared" si="14"/>
        <v>0-5</v>
      </c>
    </row>
    <row r="140" spans="1:12" x14ac:dyDescent="0.35">
      <c r="A140" t="s">
        <v>328</v>
      </c>
      <c r="B140" t="s">
        <v>329</v>
      </c>
      <c r="C140">
        <v>1.78E-2</v>
      </c>
      <c r="D140">
        <v>1.23E-2</v>
      </c>
      <c r="E140">
        <v>1.1299999999999999E-2</v>
      </c>
      <c r="F140">
        <v>0.16889999999999999</v>
      </c>
      <c r="G140">
        <v>11834225</v>
      </c>
      <c r="H140">
        <f t="shared" si="10"/>
        <v>1.800343885910792E-2</v>
      </c>
      <c r="I140">
        <f t="shared" si="11"/>
        <v>1.5227992129352382E-2</v>
      </c>
      <c r="J140">
        <f t="shared" si="12"/>
        <v>6.4166666666666664E-2</v>
      </c>
      <c r="K140" t="str">
        <f t="shared" si="13"/>
        <v>$0-$0.05</v>
      </c>
      <c r="L140" t="str">
        <f t="shared" si="14"/>
        <v>0-5</v>
      </c>
    </row>
    <row r="141" spans="1:12" x14ac:dyDescent="0.35">
      <c r="A141" t="s">
        <v>342</v>
      </c>
      <c r="B141" t="s">
        <v>343</v>
      </c>
      <c r="C141">
        <v>5.16E-2</v>
      </c>
      <c r="D141">
        <v>1.7000000000000001E-2</v>
      </c>
      <c r="E141">
        <v>2.6599999999999999E-2</v>
      </c>
      <c r="F141">
        <v>0.18770000000000001</v>
      </c>
      <c r="G141">
        <v>11823511</v>
      </c>
      <c r="H141">
        <f t="shared" si="10"/>
        <v>5.3010067803575096E-2</v>
      </c>
      <c r="I141">
        <f t="shared" si="11"/>
        <v>4.3445314473351856E-2</v>
      </c>
      <c r="J141">
        <f t="shared" si="12"/>
        <v>7.7100000000000002E-2</v>
      </c>
      <c r="K141" t="str">
        <f t="shared" si="13"/>
        <v>$0.05-$0.5</v>
      </c>
      <c r="L141" t="str">
        <f t="shared" si="14"/>
        <v>0-5</v>
      </c>
    </row>
    <row r="142" spans="1:12" x14ac:dyDescent="0.35">
      <c r="A142" t="s">
        <v>682</v>
      </c>
      <c r="B142" t="s">
        <v>683</v>
      </c>
      <c r="C142">
        <v>6.3200000000000006E-2</v>
      </c>
      <c r="D142">
        <v>0</v>
      </c>
      <c r="E142">
        <v>0</v>
      </c>
      <c r="F142">
        <v>0</v>
      </c>
      <c r="G142">
        <v>11788280</v>
      </c>
      <c r="H142">
        <f t="shared" si="10"/>
        <v>6.3200000000000006E-2</v>
      </c>
      <c r="I142">
        <f t="shared" si="11"/>
        <v>6.3200000000000006E-2</v>
      </c>
      <c r="J142">
        <f t="shared" si="12"/>
        <v>0</v>
      </c>
      <c r="K142" t="str">
        <f t="shared" si="13"/>
        <v>$0.05-$0.5</v>
      </c>
      <c r="L142" t="str">
        <f t="shared" si="14"/>
        <v>0-5</v>
      </c>
    </row>
    <row r="143" spans="1:12" x14ac:dyDescent="0.35">
      <c r="A143" t="s">
        <v>684</v>
      </c>
      <c r="B143" t="s">
        <v>685</v>
      </c>
      <c r="C143">
        <v>1.18E-2</v>
      </c>
      <c r="D143">
        <v>7.4999999999999997E-3</v>
      </c>
      <c r="E143">
        <v>7.5399999999999995E-2</v>
      </c>
      <c r="F143">
        <v>3.15E-2</v>
      </c>
      <c r="G143">
        <v>11782099</v>
      </c>
      <c r="H143">
        <f t="shared" si="10"/>
        <v>1.2762275578628596E-2</v>
      </c>
      <c r="I143">
        <f t="shared" si="11"/>
        <v>1.1439650993698496E-2</v>
      </c>
      <c r="J143">
        <f t="shared" si="12"/>
        <v>3.8133333333333332E-2</v>
      </c>
      <c r="K143" t="str">
        <f t="shared" si="13"/>
        <v>$0-$0.05</v>
      </c>
      <c r="L143" t="str">
        <f t="shared" si="14"/>
        <v>0-5</v>
      </c>
    </row>
    <row r="144" spans="1:12" x14ac:dyDescent="0.35">
      <c r="A144" t="s">
        <v>686</v>
      </c>
      <c r="B144" t="s">
        <v>687</v>
      </c>
      <c r="C144">
        <v>1.18E-2</v>
      </c>
      <c r="D144">
        <v>8.9999999999999993E-3</v>
      </c>
      <c r="E144">
        <v>1.3299999999999999E-2</v>
      </c>
      <c r="F144">
        <v>0.1188</v>
      </c>
      <c r="G144">
        <v>11771601</v>
      </c>
      <c r="H144">
        <f t="shared" si="10"/>
        <v>1.1959055437316306E-2</v>
      </c>
      <c r="I144">
        <f t="shared" si="11"/>
        <v>1.0547014658562745E-2</v>
      </c>
      <c r="J144">
        <f t="shared" si="12"/>
        <v>4.7033333333333337E-2</v>
      </c>
      <c r="K144" t="str">
        <f t="shared" si="13"/>
        <v>$0-$0.05</v>
      </c>
      <c r="L144" t="str">
        <f t="shared" si="14"/>
        <v>0-5</v>
      </c>
    </row>
    <row r="145" spans="1:12" x14ac:dyDescent="0.35">
      <c r="A145" t="s">
        <v>688</v>
      </c>
      <c r="B145" t="s">
        <v>689</v>
      </c>
      <c r="C145">
        <v>1.21E-2</v>
      </c>
      <c r="D145">
        <v>3.9300000000000002E-2</v>
      </c>
      <c r="E145">
        <v>6.4299999999999996E-2</v>
      </c>
      <c r="F145">
        <v>0.1368</v>
      </c>
      <c r="G145">
        <v>11752875</v>
      </c>
      <c r="H145">
        <f t="shared" si="10"/>
        <v>1.2931495137330341E-2</v>
      </c>
      <c r="I145">
        <f t="shared" si="11"/>
        <v>1.0643912737508796E-2</v>
      </c>
      <c r="J145">
        <f t="shared" si="12"/>
        <v>8.0133333333333334E-2</v>
      </c>
      <c r="K145" t="str">
        <f t="shared" si="13"/>
        <v>$0-$0.05</v>
      </c>
      <c r="L145" t="str">
        <f t="shared" si="14"/>
        <v>0-5</v>
      </c>
    </row>
    <row r="146" spans="1:12" x14ac:dyDescent="0.35">
      <c r="A146" t="s">
        <v>320</v>
      </c>
      <c r="B146" t="s">
        <v>321</v>
      </c>
      <c r="C146">
        <v>8.3199999999999996E-2</v>
      </c>
      <c r="D146">
        <v>8.0999999999999996E-3</v>
      </c>
      <c r="E146">
        <v>4.4000000000000003E-3</v>
      </c>
      <c r="F146">
        <v>0.18690000000000001</v>
      </c>
      <c r="G146">
        <v>11717795</v>
      </c>
      <c r="H146">
        <f t="shared" si="10"/>
        <v>8.3567697870630772E-2</v>
      </c>
      <c r="I146">
        <f t="shared" si="11"/>
        <v>7.0098576122672507E-2</v>
      </c>
      <c r="J146">
        <f t="shared" si="12"/>
        <v>6.6466666666666674E-2</v>
      </c>
      <c r="K146" t="str">
        <f t="shared" si="13"/>
        <v>$0.05-$0.5</v>
      </c>
      <c r="L146" t="str">
        <f t="shared" si="14"/>
        <v>0-5</v>
      </c>
    </row>
    <row r="147" spans="1:12" x14ac:dyDescent="0.35">
      <c r="A147" t="s">
        <v>690</v>
      </c>
      <c r="B147" t="s">
        <v>691</v>
      </c>
      <c r="C147">
        <v>125.92</v>
      </c>
      <c r="D147">
        <v>8.2000000000000007E-3</v>
      </c>
      <c r="E147">
        <v>1.3599999999999999E-2</v>
      </c>
      <c r="F147">
        <v>0.18410000000000001</v>
      </c>
      <c r="G147">
        <v>11706980</v>
      </c>
      <c r="H147">
        <f t="shared" si="10"/>
        <v>127.65612327656123</v>
      </c>
      <c r="I147">
        <f t="shared" si="11"/>
        <v>106.34236973228613</v>
      </c>
      <c r="J147">
        <f t="shared" si="12"/>
        <v>6.8633333333333338E-2</v>
      </c>
      <c r="K147" t="str">
        <f t="shared" si="13"/>
        <v>&gt;$50</v>
      </c>
      <c r="L147" t="str">
        <f t="shared" si="14"/>
        <v>Above 5</v>
      </c>
    </row>
    <row r="148" spans="1:12" x14ac:dyDescent="0.35">
      <c r="A148" t="s">
        <v>338</v>
      </c>
      <c r="B148" t="s">
        <v>339</v>
      </c>
      <c r="C148">
        <v>5.8400000000000001E-2</v>
      </c>
      <c r="D148">
        <v>1.7999999999999999E-2</v>
      </c>
      <c r="E148">
        <v>1.77E-2</v>
      </c>
      <c r="F148">
        <v>0.28449999999999998</v>
      </c>
      <c r="G148">
        <v>11687721</v>
      </c>
      <c r="H148">
        <f t="shared" si="10"/>
        <v>5.9452305812888122E-2</v>
      </c>
      <c r="I148">
        <f t="shared" si="11"/>
        <v>4.5465161541455822E-2</v>
      </c>
      <c r="J148">
        <f t="shared" si="12"/>
        <v>0.10673333333333333</v>
      </c>
      <c r="K148" t="str">
        <f t="shared" si="13"/>
        <v>$0.05-$0.5</v>
      </c>
      <c r="L148" t="str">
        <f t="shared" si="14"/>
        <v>0-5</v>
      </c>
    </row>
    <row r="149" spans="1:12" x14ac:dyDescent="0.35">
      <c r="A149" t="s">
        <v>692</v>
      </c>
      <c r="B149" t="s">
        <v>693</v>
      </c>
      <c r="C149">
        <v>416.96</v>
      </c>
      <c r="D149">
        <v>3.7000000000000002E-3</v>
      </c>
      <c r="E149">
        <v>2.0000000000000001E-4</v>
      </c>
      <c r="F149">
        <v>0.1114</v>
      </c>
      <c r="G149">
        <v>11669080</v>
      </c>
      <c r="H149">
        <f t="shared" si="10"/>
        <v>417.04340868173631</v>
      </c>
      <c r="I149">
        <f t="shared" si="11"/>
        <v>375.16645672125247</v>
      </c>
      <c r="J149">
        <f t="shared" si="12"/>
        <v>3.8433333333333333E-2</v>
      </c>
      <c r="K149" t="str">
        <f t="shared" si="13"/>
        <v>&gt;$50</v>
      </c>
      <c r="L149" t="str">
        <f t="shared" si="14"/>
        <v>Above 5</v>
      </c>
    </row>
    <row r="150" spans="1:12" x14ac:dyDescent="0.35">
      <c r="A150" t="s">
        <v>324</v>
      </c>
      <c r="B150" t="s">
        <v>325</v>
      </c>
      <c r="C150">
        <v>4.5600000000000002E-2</v>
      </c>
      <c r="D150">
        <v>1.49E-2</v>
      </c>
      <c r="E150">
        <v>6.3E-3</v>
      </c>
      <c r="F150">
        <v>0.25209999999999999</v>
      </c>
      <c r="G150">
        <v>11649565</v>
      </c>
      <c r="H150">
        <f t="shared" si="10"/>
        <v>4.5889101338432124E-2</v>
      </c>
      <c r="I150">
        <f t="shared" si="11"/>
        <v>3.6418816388467376E-2</v>
      </c>
      <c r="J150">
        <f t="shared" si="12"/>
        <v>9.11E-2</v>
      </c>
      <c r="K150" t="str">
        <f t="shared" si="13"/>
        <v>$0-$0.05</v>
      </c>
      <c r="L150" t="str">
        <f t="shared" si="14"/>
        <v>0-5</v>
      </c>
    </row>
    <row r="151" spans="1:12" x14ac:dyDescent="0.35">
      <c r="A151" t="s">
        <v>694</v>
      </c>
      <c r="B151" t="s">
        <v>695</v>
      </c>
      <c r="C151">
        <v>429.27</v>
      </c>
      <c r="D151">
        <v>7.0000000000000001E-3</v>
      </c>
      <c r="E151">
        <v>3.5099999999999999E-2</v>
      </c>
      <c r="F151">
        <v>6.9999999999999999E-4</v>
      </c>
      <c r="G151">
        <v>11571618</v>
      </c>
      <c r="H151">
        <f t="shared" si="10"/>
        <v>444.88548036065913</v>
      </c>
      <c r="I151">
        <f t="shared" si="11"/>
        <v>428.9697211951634</v>
      </c>
      <c r="J151">
        <f t="shared" si="12"/>
        <v>1.4266666666666665E-2</v>
      </c>
      <c r="K151" t="str">
        <f t="shared" si="13"/>
        <v>&gt;$50</v>
      </c>
      <c r="L151" t="str">
        <f t="shared" si="14"/>
        <v>Above 5</v>
      </c>
    </row>
    <row r="152" spans="1:12" x14ac:dyDescent="0.35">
      <c r="A152" t="s">
        <v>370</v>
      </c>
      <c r="B152" t="s">
        <v>370</v>
      </c>
      <c r="C152">
        <v>8.8999999999999999E-3</v>
      </c>
      <c r="D152">
        <v>1.17E-2</v>
      </c>
      <c r="E152">
        <v>1.1299999999999999E-2</v>
      </c>
      <c r="F152">
        <v>5.3E-3</v>
      </c>
      <c r="G152">
        <v>8946341</v>
      </c>
      <c r="H152">
        <f t="shared" si="10"/>
        <v>9.0017194295539602E-3</v>
      </c>
      <c r="I152">
        <f t="shared" si="11"/>
        <v>8.853078682980204E-3</v>
      </c>
      <c r="J152">
        <f t="shared" si="12"/>
        <v>9.4333333333333335E-3</v>
      </c>
      <c r="K152" t="str">
        <f t="shared" si="13"/>
        <v>$0-$0.05</v>
      </c>
      <c r="L152" t="str">
        <f t="shared" si="14"/>
        <v>0-5</v>
      </c>
    </row>
    <row r="153" spans="1:12" x14ac:dyDescent="0.35">
      <c r="A153" t="s">
        <v>696</v>
      </c>
      <c r="B153" t="s">
        <v>697</v>
      </c>
      <c r="C153">
        <v>0.39589999999999997</v>
      </c>
      <c r="D153">
        <v>6.4000000000000003E-3</v>
      </c>
      <c r="E153">
        <v>5.4100000000000002E-2</v>
      </c>
      <c r="F153">
        <v>0.15459999999999999</v>
      </c>
      <c r="G153">
        <v>8928387</v>
      </c>
      <c r="H153">
        <f t="shared" si="10"/>
        <v>0.41854318638333859</v>
      </c>
      <c r="I153">
        <f t="shared" si="11"/>
        <v>0.34288931231595354</v>
      </c>
      <c r="J153">
        <f t="shared" si="12"/>
        <v>7.17E-2</v>
      </c>
      <c r="K153" t="str">
        <f t="shared" si="13"/>
        <v>$0.05-$0.5</v>
      </c>
      <c r="L153" t="str">
        <f t="shared" si="14"/>
        <v>0-5</v>
      </c>
    </row>
    <row r="154" spans="1:12" x14ac:dyDescent="0.35">
      <c r="A154" t="s">
        <v>352</v>
      </c>
      <c r="B154" t="s">
        <v>353</v>
      </c>
      <c r="C154">
        <v>4.9500000000000002E-2</v>
      </c>
      <c r="D154">
        <v>1.9400000000000001E-2</v>
      </c>
      <c r="E154">
        <v>1.2699999999999999E-2</v>
      </c>
      <c r="F154">
        <v>0.22670000000000001</v>
      </c>
      <c r="G154">
        <v>8896335</v>
      </c>
      <c r="H154">
        <f t="shared" si="10"/>
        <v>5.0136736554238837E-2</v>
      </c>
      <c r="I154">
        <f t="shared" si="11"/>
        <v>4.0352164343360232E-2</v>
      </c>
      <c r="J154">
        <f t="shared" si="12"/>
        <v>8.6266666666666672E-2</v>
      </c>
      <c r="K154" t="str">
        <f t="shared" si="13"/>
        <v>$0-$0.05</v>
      </c>
      <c r="L154" t="str">
        <f t="shared" si="14"/>
        <v>0-5</v>
      </c>
    </row>
    <row r="155" spans="1:12" x14ac:dyDescent="0.35">
      <c r="A155" t="s">
        <v>698</v>
      </c>
      <c r="B155" t="s">
        <v>699</v>
      </c>
      <c r="C155">
        <v>1.6199999999999999E-2</v>
      </c>
      <c r="D155">
        <v>1.67E-2</v>
      </c>
      <c r="E155">
        <v>1.6299999999999999E-2</v>
      </c>
      <c r="F155">
        <v>0.16600000000000001</v>
      </c>
      <c r="G155">
        <v>8774754</v>
      </c>
      <c r="H155">
        <f t="shared" si="10"/>
        <v>1.6468435498627629E-2</v>
      </c>
      <c r="I155">
        <f t="shared" si="11"/>
        <v>1.3893653516295026E-2</v>
      </c>
      <c r="J155">
        <f t="shared" si="12"/>
        <v>6.6333333333333341E-2</v>
      </c>
      <c r="K155" t="str">
        <f t="shared" si="13"/>
        <v>$0-$0.05</v>
      </c>
      <c r="L155" t="str">
        <f t="shared" si="14"/>
        <v>0-5</v>
      </c>
    </row>
    <row r="156" spans="1:12" x14ac:dyDescent="0.35">
      <c r="A156" t="s">
        <v>97</v>
      </c>
      <c r="B156" t="s">
        <v>98</v>
      </c>
      <c r="C156">
        <v>3.46</v>
      </c>
      <c r="D156">
        <v>2.8E-3</v>
      </c>
      <c r="E156">
        <v>4.4000000000000003E-3</v>
      </c>
      <c r="F156">
        <v>0.182</v>
      </c>
      <c r="G156">
        <v>8740272</v>
      </c>
      <c r="H156">
        <f t="shared" si="10"/>
        <v>3.4752912816392123</v>
      </c>
      <c r="I156">
        <f t="shared" si="11"/>
        <v>2.927241962774958</v>
      </c>
      <c r="J156">
        <f t="shared" si="12"/>
        <v>6.3066666666666674E-2</v>
      </c>
      <c r="K156" t="str">
        <f t="shared" si="13"/>
        <v>$0.5-$5</v>
      </c>
      <c r="L156" t="str">
        <f t="shared" si="14"/>
        <v>0-5</v>
      </c>
    </row>
    <row r="157" spans="1:12" x14ac:dyDescent="0.35">
      <c r="A157" t="s">
        <v>346</v>
      </c>
      <c r="B157" t="s">
        <v>347</v>
      </c>
      <c r="C157">
        <v>0.1928</v>
      </c>
      <c r="D157">
        <v>2.35E-2</v>
      </c>
      <c r="E157">
        <v>3.2000000000000002E-3</v>
      </c>
      <c r="F157">
        <v>0.20469999999999999</v>
      </c>
      <c r="G157">
        <v>8724871</v>
      </c>
      <c r="H157">
        <f t="shared" si="10"/>
        <v>0.19341894060995185</v>
      </c>
      <c r="I157">
        <f t="shared" si="11"/>
        <v>0.16003984394455054</v>
      </c>
      <c r="J157">
        <f t="shared" si="12"/>
        <v>7.7133333333333332E-2</v>
      </c>
      <c r="K157" t="str">
        <f t="shared" si="13"/>
        <v>$0.05-$0.5</v>
      </c>
      <c r="L157" t="str">
        <f t="shared" si="14"/>
        <v>0-5</v>
      </c>
    </row>
    <row r="158" spans="1:12" x14ac:dyDescent="0.35">
      <c r="A158" t="s">
        <v>700</v>
      </c>
      <c r="B158" t="s">
        <v>701</v>
      </c>
      <c r="C158">
        <v>8.6999999999999994E-3</v>
      </c>
      <c r="D158">
        <v>6.4000000000000003E-3</v>
      </c>
      <c r="E158">
        <v>2.2200000000000001E-2</v>
      </c>
      <c r="F158">
        <v>6.9400000000000003E-2</v>
      </c>
      <c r="G158">
        <v>8663896</v>
      </c>
      <c r="H158">
        <f t="shared" si="10"/>
        <v>8.8975250562487208E-3</v>
      </c>
      <c r="I158">
        <f t="shared" si="11"/>
        <v>8.1354030297363013E-3</v>
      </c>
      <c r="J158">
        <f t="shared" si="12"/>
        <v>3.266666666666667E-2</v>
      </c>
      <c r="K158" t="str">
        <f t="shared" si="13"/>
        <v>$0-$0.05</v>
      </c>
      <c r="L158" t="str">
        <f t="shared" si="14"/>
        <v>0-5</v>
      </c>
    </row>
    <row r="159" spans="1:12" x14ac:dyDescent="0.35">
      <c r="A159" t="s">
        <v>702</v>
      </c>
      <c r="B159" t="s">
        <v>703</v>
      </c>
      <c r="C159">
        <v>3.7000000000000002E-3</v>
      </c>
      <c r="D159">
        <v>2.2800000000000001E-2</v>
      </c>
      <c r="E159">
        <v>2.0799999999999999E-2</v>
      </c>
      <c r="F159">
        <v>0.18890000000000001</v>
      </c>
      <c r="G159">
        <v>8695083</v>
      </c>
      <c r="H159">
        <f t="shared" si="10"/>
        <v>3.7785947712418305E-3</v>
      </c>
      <c r="I159">
        <f t="shared" si="11"/>
        <v>3.1121204474724535E-3</v>
      </c>
      <c r="J159">
        <f t="shared" si="12"/>
        <v>7.7499999999999999E-2</v>
      </c>
      <c r="K159" t="str">
        <f t="shared" si="13"/>
        <v>$0-$0.05</v>
      </c>
      <c r="L159" t="str">
        <f t="shared" si="14"/>
        <v>0-5</v>
      </c>
    </row>
    <row r="160" spans="1:12" x14ac:dyDescent="0.35">
      <c r="A160" t="s">
        <v>704</v>
      </c>
      <c r="B160" t="s">
        <v>705</v>
      </c>
      <c r="C160">
        <v>1.23E-2</v>
      </c>
      <c r="D160">
        <v>2.0000000000000001E-4</v>
      </c>
      <c r="E160">
        <v>4.2099999999999999E-2</v>
      </c>
      <c r="F160">
        <v>0.15040000000000001</v>
      </c>
      <c r="G160">
        <v>8671043</v>
      </c>
      <c r="H160">
        <f t="shared" si="10"/>
        <v>1.2840588787973693E-2</v>
      </c>
      <c r="I160">
        <f t="shared" si="11"/>
        <v>1.069193324061196E-2</v>
      </c>
      <c r="J160">
        <f t="shared" si="12"/>
        <v>6.4233333333333337E-2</v>
      </c>
      <c r="K160" t="str">
        <f t="shared" si="13"/>
        <v>$0-$0.05</v>
      </c>
      <c r="L160" t="str">
        <f t="shared" si="14"/>
        <v>0-5</v>
      </c>
    </row>
    <row r="161" spans="1:12" x14ac:dyDescent="0.35">
      <c r="A161" t="s">
        <v>706</v>
      </c>
      <c r="B161" t="s">
        <v>707</v>
      </c>
      <c r="C161">
        <v>1.29E-2</v>
      </c>
      <c r="D161">
        <v>1.78E-2</v>
      </c>
      <c r="E161">
        <v>1.24E-2</v>
      </c>
      <c r="F161">
        <v>0.19239999999999999</v>
      </c>
      <c r="G161">
        <v>8661672</v>
      </c>
      <c r="H161">
        <f t="shared" si="10"/>
        <v>1.3061968408262454E-2</v>
      </c>
      <c r="I161">
        <f t="shared" si="11"/>
        <v>1.0818517276081853E-2</v>
      </c>
      <c r="J161">
        <f t="shared" si="12"/>
        <v>7.4200000000000002E-2</v>
      </c>
      <c r="K161" t="str">
        <f t="shared" si="13"/>
        <v>$0-$0.05</v>
      </c>
      <c r="L161" t="str">
        <f t="shared" si="14"/>
        <v>0-5</v>
      </c>
    </row>
    <row r="162" spans="1:12" x14ac:dyDescent="0.35">
      <c r="A162" t="s">
        <v>708</v>
      </c>
      <c r="B162" t="s">
        <v>708</v>
      </c>
      <c r="C162">
        <v>1.89E-2</v>
      </c>
      <c r="D162">
        <v>1.24E-2</v>
      </c>
      <c r="E162">
        <v>6.6E-3</v>
      </c>
      <c r="F162">
        <v>0.16189999999999999</v>
      </c>
      <c r="G162">
        <v>8617378</v>
      </c>
      <c r="H162">
        <f t="shared" si="10"/>
        <v>1.9025568753774917E-2</v>
      </c>
      <c r="I162">
        <f t="shared" si="11"/>
        <v>1.6266460108443067E-2</v>
      </c>
      <c r="J162">
        <f t="shared" si="12"/>
        <v>6.0299999999999992E-2</v>
      </c>
      <c r="K162" t="str">
        <f t="shared" si="13"/>
        <v>$0-$0.05</v>
      </c>
      <c r="L162" t="str">
        <f t="shared" si="14"/>
        <v>0-5</v>
      </c>
    </row>
    <row r="163" spans="1:12" x14ac:dyDescent="0.35">
      <c r="A163" t="s">
        <v>709</v>
      </c>
      <c r="B163" t="s">
        <v>710</v>
      </c>
      <c r="C163">
        <v>5.8400000000000001E-2</v>
      </c>
      <c r="D163">
        <v>2.9100000000000001E-2</v>
      </c>
      <c r="E163">
        <v>2.24E-2</v>
      </c>
      <c r="F163">
        <v>3.9800000000000002E-2</v>
      </c>
      <c r="G163">
        <v>8634413</v>
      </c>
      <c r="H163">
        <f t="shared" si="10"/>
        <v>5.9738134206219311E-2</v>
      </c>
      <c r="I163">
        <f t="shared" si="11"/>
        <v>5.6164647047509134E-2</v>
      </c>
      <c r="J163">
        <f t="shared" si="12"/>
        <v>3.0433333333333337E-2</v>
      </c>
      <c r="K163" t="str">
        <f t="shared" si="13"/>
        <v>$0.05-$0.5</v>
      </c>
      <c r="L163" t="str">
        <f t="shared" si="14"/>
        <v>0-5</v>
      </c>
    </row>
    <row r="164" spans="1:12" x14ac:dyDescent="0.35">
      <c r="A164" t="s">
        <v>711</v>
      </c>
      <c r="B164" t="s">
        <v>712</v>
      </c>
      <c r="C164">
        <v>1.0500000000000001E-2</v>
      </c>
      <c r="D164">
        <v>2.75E-2</v>
      </c>
      <c r="E164">
        <v>2.69E-2</v>
      </c>
      <c r="F164">
        <v>0.12330000000000001</v>
      </c>
      <c r="G164">
        <v>8610074</v>
      </c>
      <c r="H164">
        <f t="shared" si="10"/>
        <v>1.0790257938546913E-2</v>
      </c>
      <c r="I164">
        <f t="shared" si="11"/>
        <v>9.3474583815543501E-3</v>
      </c>
      <c r="J164">
        <f t="shared" si="12"/>
        <v>5.9233333333333339E-2</v>
      </c>
      <c r="K164" t="str">
        <f t="shared" si="13"/>
        <v>$0-$0.05</v>
      </c>
      <c r="L164" t="str">
        <f t="shared" si="14"/>
        <v>0-5</v>
      </c>
    </row>
    <row r="165" spans="1:12" x14ac:dyDescent="0.35">
      <c r="A165" t="s">
        <v>713</v>
      </c>
      <c r="B165" t="s">
        <v>714</v>
      </c>
      <c r="C165">
        <v>5.0599999999999999E-2</v>
      </c>
      <c r="D165">
        <v>1.83E-2</v>
      </c>
      <c r="E165">
        <v>1.8800000000000001E-2</v>
      </c>
      <c r="F165">
        <v>5.0500000000000003E-2</v>
      </c>
      <c r="G165">
        <v>8590670</v>
      </c>
      <c r="H165">
        <f t="shared" si="10"/>
        <v>5.1569506726457402E-2</v>
      </c>
      <c r="I165">
        <f t="shared" si="11"/>
        <v>4.8167539267015703E-2</v>
      </c>
      <c r="J165">
        <f t="shared" si="12"/>
        <v>2.9200000000000004E-2</v>
      </c>
      <c r="K165" t="str">
        <f t="shared" si="13"/>
        <v>$0.05-$0.5</v>
      </c>
      <c r="L165" t="str">
        <f t="shared" si="14"/>
        <v>0-5</v>
      </c>
    </row>
    <row r="166" spans="1:12" x14ac:dyDescent="0.35">
      <c r="A166" t="s">
        <v>344</v>
      </c>
      <c r="B166" t="s">
        <v>345</v>
      </c>
      <c r="C166">
        <v>7.0000000000000001E-3</v>
      </c>
      <c r="D166">
        <v>6.4000000000000003E-3</v>
      </c>
      <c r="E166">
        <v>6.7699999999999996E-2</v>
      </c>
      <c r="F166">
        <v>0.20469999999999999</v>
      </c>
      <c r="G166">
        <v>8565112</v>
      </c>
      <c r="H166">
        <f t="shared" si="10"/>
        <v>7.508312774857878E-3</v>
      </c>
      <c r="I166">
        <f t="shared" si="11"/>
        <v>5.8105752469494489E-3</v>
      </c>
      <c r="J166">
        <f t="shared" si="12"/>
        <v>9.2933333333333326E-2</v>
      </c>
      <c r="K166" t="str">
        <f t="shared" si="13"/>
        <v>$0-$0.05</v>
      </c>
      <c r="L166" t="str">
        <f t="shared" si="14"/>
        <v>0-5</v>
      </c>
    </row>
    <row r="167" spans="1:12" x14ac:dyDescent="0.35">
      <c r="A167" t="s">
        <v>371</v>
      </c>
      <c r="B167" t="s">
        <v>372</v>
      </c>
      <c r="C167">
        <v>7.7499999999999999E-2</v>
      </c>
      <c r="D167">
        <v>1.44E-2</v>
      </c>
      <c r="E167">
        <v>2.8400000000000002E-2</v>
      </c>
      <c r="F167">
        <v>0.2152</v>
      </c>
      <c r="G167">
        <v>6780269</v>
      </c>
      <c r="H167">
        <f t="shared" si="10"/>
        <v>7.9765335529024289E-2</v>
      </c>
      <c r="I167">
        <f t="shared" si="11"/>
        <v>6.3775510204081634E-2</v>
      </c>
      <c r="J167">
        <f t="shared" si="12"/>
        <v>8.6000000000000007E-2</v>
      </c>
      <c r="K167" t="str">
        <f t="shared" si="13"/>
        <v>$0.05-$0.5</v>
      </c>
      <c r="L167" t="str">
        <f t="shared" si="14"/>
        <v>0-5</v>
      </c>
    </row>
    <row r="168" spans="1:12" x14ac:dyDescent="0.35">
      <c r="A168" t="s">
        <v>715</v>
      </c>
      <c r="B168" t="s">
        <v>715</v>
      </c>
      <c r="C168">
        <v>0</v>
      </c>
      <c r="D168">
        <v>7.1000000000000004E-3</v>
      </c>
      <c r="E168">
        <v>2.07E-2</v>
      </c>
      <c r="F168">
        <v>7.22E-2</v>
      </c>
      <c r="G168">
        <v>6759626</v>
      </c>
      <c r="H168">
        <f t="shared" si="10"/>
        <v>0</v>
      </c>
      <c r="I168">
        <f t="shared" si="11"/>
        <v>0</v>
      </c>
      <c r="J168">
        <f t="shared" si="12"/>
        <v>3.3333333333333333E-2</v>
      </c>
      <c r="K168" t="str">
        <f t="shared" si="13"/>
        <v>$0-$0.05</v>
      </c>
      <c r="L168" t="str">
        <f t="shared" si="14"/>
        <v>0-5</v>
      </c>
    </row>
    <row r="169" spans="1:12" x14ac:dyDescent="0.35">
      <c r="A169" t="s">
        <v>716</v>
      </c>
      <c r="B169" t="s">
        <v>717</v>
      </c>
      <c r="C169">
        <v>6.3E-2</v>
      </c>
      <c r="D169">
        <v>4.0000000000000002E-4</v>
      </c>
      <c r="E169">
        <v>1.83E-2</v>
      </c>
      <c r="F169">
        <v>0.1772</v>
      </c>
      <c r="G169">
        <v>6748376</v>
      </c>
      <c r="H169">
        <f t="shared" si="10"/>
        <v>6.4174391361923197E-2</v>
      </c>
      <c r="I169">
        <f t="shared" si="11"/>
        <v>5.3516819571865444E-2</v>
      </c>
      <c r="J169">
        <f t="shared" si="12"/>
        <v>6.5299999999999997E-2</v>
      </c>
      <c r="K169" t="str">
        <f t="shared" si="13"/>
        <v>$0.05-$0.5</v>
      </c>
      <c r="L169" t="str">
        <f t="shared" si="14"/>
        <v>0-5</v>
      </c>
    </row>
    <row r="170" spans="1:12" x14ac:dyDescent="0.35">
      <c r="A170" t="s">
        <v>718</v>
      </c>
      <c r="B170" t="s">
        <v>719</v>
      </c>
      <c r="C170">
        <v>6.7299999999999999E-2</v>
      </c>
      <c r="D170">
        <v>2.8899999999999999E-2</v>
      </c>
      <c r="E170">
        <v>4.4200000000000003E-2</v>
      </c>
      <c r="F170">
        <v>0.2374</v>
      </c>
      <c r="G170">
        <v>6727308</v>
      </c>
      <c r="H170">
        <f t="shared" si="10"/>
        <v>7.0412220129734249E-2</v>
      </c>
      <c r="I170">
        <f t="shared" si="11"/>
        <v>5.4388233392597379E-2</v>
      </c>
      <c r="J170">
        <f t="shared" si="12"/>
        <v>0.10349999999999999</v>
      </c>
      <c r="K170" t="str">
        <f t="shared" si="13"/>
        <v>$0.05-$0.5</v>
      </c>
      <c r="L170" t="str">
        <f t="shared" si="14"/>
        <v>0-5</v>
      </c>
    </row>
    <row r="171" spans="1:12" x14ac:dyDescent="0.35">
      <c r="A171" t="s">
        <v>720</v>
      </c>
      <c r="B171" t="s">
        <v>721</v>
      </c>
      <c r="C171">
        <v>7.1000000000000004E-3</v>
      </c>
      <c r="D171">
        <v>7.7000000000000002E-3</v>
      </c>
      <c r="E171">
        <v>8.9999999999999993E-3</v>
      </c>
      <c r="F171">
        <v>0.30009999999999998</v>
      </c>
      <c r="G171">
        <v>6715820</v>
      </c>
      <c r="H171">
        <f t="shared" si="10"/>
        <v>7.1644803229061558E-3</v>
      </c>
      <c r="I171">
        <f t="shared" si="11"/>
        <v>5.4611183755095766E-3</v>
      </c>
      <c r="J171">
        <f t="shared" si="12"/>
        <v>0.10559999999999999</v>
      </c>
      <c r="K171" t="str">
        <f t="shared" si="13"/>
        <v>$0-$0.05</v>
      </c>
      <c r="L171" t="str">
        <f t="shared" si="14"/>
        <v>0-5</v>
      </c>
    </row>
    <row r="172" spans="1:12" x14ac:dyDescent="0.35">
      <c r="A172" t="s">
        <v>722</v>
      </c>
      <c r="B172" t="s">
        <v>723</v>
      </c>
      <c r="C172">
        <v>8.7899999999999991</v>
      </c>
      <c r="D172">
        <v>2.3999999999999998E-3</v>
      </c>
      <c r="E172">
        <v>1.34E-2</v>
      </c>
      <c r="F172">
        <v>0.11509999999999999</v>
      </c>
      <c r="G172">
        <v>6704803</v>
      </c>
      <c r="H172">
        <f t="shared" si="10"/>
        <v>8.9093857693087362</v>
      </c>
      <c r="I172">
        <f t="shared" si="11"/>
        <v>7.8827011030400858</v>
      </c>
      <c r="J172">
        <f t="shared" si="12"/>
        <v>4.363333333333333E-2</v>
      </c>
      <c r="K172" t="str">
        <f t="shared" si="13"/>
        <v>$5-$50</v>
      </c>
      <c r="L172" t="str">
        <f t="shared" si="14"/>
        <v>Above 5</v>
      </c>
    </row>
    <row r="173" spans="1:12" x14ac:dyDescent="0.35">
      <c r="A173" t="s">
        <v>724</v>
      </c>
      <c r="B173" t="s">
        <v>725</v>
      </c>
      <c r="C173">
        <v>4.0000000000000002E-4</v>
      </c>
      <c r="D173">
        <v>2.9999999999999997E-4</v>
      </c>
      <c r="E173">
        <v>3.7900000000000003E-2</v>
      </c>
      <c r="F173">
        <v>0.20799999999999999</v>
      </c>
      <c r="G173">
        <v>6633943</v>
      </c>
      <c r="H173">
        <f t="shared" si="10"/>
        <v>4.1575719779648687E-4</v>
      </c>
      <c r="I173">
        <f t="shared" si="11"/>
        <v>3.3112582781456954E-4</v>
      </c>
      <c r="J173">
        <f t="shared" si="12"/>
        <v>8.2066666666666663E-2</v>
      </c>
      <c r="K173" t="str">
        <f t="shared" si="13"/>
        <v>$0-$0.05</v>
      </c>
      <c r="L173" t="str">
        <f t="shared" si="14"/>
        <v>0-5</v>
      </c>
    </row>
    <row r="174" spans="1:12" x14ac:dyDescent="0.35">
      <c r="A174" t="s">
        <v>376</v>
      </c>
      <c r="B174" t="s">
        <v>377</v>
      </c>
      <c r="C174">
        <v>8.9999999999999998E-4</v>
      </c>
      <c r="D174">
        <v>5.1999999999999998E-3</v>
      </c>
      <c r="E174">
        <v>1.9699999999999999E-2</v>
      </c>
      <c r="F174">
        <v>5.2600000000000001E-2</v>
      </c>
      <c r="G174">
        <v>6660721</v>
      </c>
      <c r="H174">
        <f t="shared" si="10"/>
        <v>9.1808630011221061E-4</v>
      </c>
      <c r="I174">
        <f t="shared" si="11"/>
        <v>8.5502565076952305E-4</v>
      </c>
      <c r="J174">
        <f t="shared" si="12"/>
        <v>2.5833333333333333E-2</v>
      </c>
      <c r="K174" t="str">
        <f t="shared" si="13"/>
        <v>$0-$0.05</v>
      </c>
      <c r="L174" t="str">
        <f t="shared" si="14"/>
        <v>0-5</v>
      </c>
    </row>
    <row r="175" spans="1:12" x14ac:dyDescent="0.35">
      <c r="A175" t="s">
        <v>726</v>
      </c>
      <c r="B175" t="s">
        <v>727</v>
      </c>
      <c r="C175">
        <v>1.1000000000000001E-3</v>
      </c>
      <c r="D175">
        <v>1.32E-2</v>
      </c>
      <c r="E175">
        <v>4.02E-2</v>
      </c>
      <c r="F175">
        <v>0.1991</v>
      </c>
      <c r="G175">
        <v>6638670</v>
      </c>
      <c r="H175">
        <f t="shared" si="10"/>
        <v>1.1460720983538237E-3</v>
      </c>
      <c r="I175">
        <f t="shared" si="11"/>
        <v>9.1735468267867563E-4</v>
      </c>
      <c r="J175">
        <f t="shared" si="12"/>
        <v>8.4166666666666667E-2</v>
      </c>
      <c r="K175" t="str">
        <f t="shared" si="13"/>
        <v>$0-$0.05</v>
      </c>
      <c r="L175" t="str">
        <f t="shared" si="14"/>
        <v>0-5</v>
      </c>
    </row>
    <row r="176" spans="1:12" x14ac:dyDescent="0.35">
      <c r="A176" t="s">
        <v>728</v>
      </c>
      <c r="B176" t="s">
        <v>729</v>
      </c>
      <c r="C176">
        <v>0.36930000000000002</v>
      </c>
      <c r="D176">
        <v>8.8999999999999999E-3</v>
      </c>
      <c r="E176">
        <v>8.6699999999999999E-2</v>
      </c>
      <c r="F176">
        <v>9.3799999999999994E-2</v>
      </c>
      <c r="G176">
        <v>6593671</v>
      </c>
      <c r="H176">
        <f t="shared" si="10"/>
        <v>0.40435782327822184</v>
      </c>
      <c r="I176">
        <f t="shared" si="11"/>
        <v>0.33763027975863968</v>
      </c>
      <c r="J176">
        <f t="shared" si="12"/>
        <v>6.3133333333333333E-2</v>
      </c>
      <c r="K176" t="str">
        <f t="shared" si="13"/>
        <v>$0.05-$0.5</v>
      </c>
      <c r="L176" t="str">
        <f t="shared" si="14"/>
        <v>0-5</v>
      </c>
    </row>
    <row r="177" spans="1:12" x14ac:dyDescent="0.35">
      <c r="A177" t="s">
        <v>730</v>
      </c>
      <c r="B177" t="s">
        <v>730</v>
      </c>
      <c r="C177">
        <v>7.1000000000000004E-3</v>
      </c>
      <c r="D177">
        <v>1.1000000000000001E-3</v>
      </c>
      <c r="E177">
        <v>1.46E-2</v>
      </c>
      <c r="F177">
        <v>0.11940000000000001</v>
      </c>
      <c r="G177">
        <v>6583983</v>
      </c>
      <c r="H177">
        <f t="shared" si="10"/>
        <v>7.2051958595494214E-3</v>
      </c>
      <c r="I177">
        <f t="shared" si="11"/>
        <v>6.3426835804895488E-3</v>
      </c>
      <c r="J177">
        <f t="shared" si="12"/>
        <v>4.5033333333333335E-2</v>
      </c>
      <c r="K177" t="str">
        <f t="shared" si="13"/>
        <v>$0-$0.05</v>
      </c>
      <c r="L177" t="str">
        <f t="shared" si="14"/>
        <v>0-5</v>
      </c>
    </row>
    <row r="178" spans="1:12" x14ac:dyDescent="0.35">
      <c r="A178" t="s">
        <v>392</v>
      </c>
      <c r="B178" t="s">
        <v>393</v>
      </c>
      <c r="C178">
        <v>2.6599999999999999E-2</v>
      </c>
      <c r="D178">
        <v>1.37E-2</v>
      </c>
      <c r="E178">
        <v>8.5000000000000006E-3</v>
      </c>
      <c r="F178">
        <v>0.1201</v>
      </c>
      <c r="G178">
        <v>6577012</v>
      </c>
      <c r="H178">
        <f t="shared" si="10"/>
        <v>2.6828038325769035E-2</v>
      </c>
      <c r="I178">
        <f t="shared" si="11"/>
        <v>2.3747879653602352E-2</v>
      </c>
      <c r="J178">
        <f t="shared" si="12"/>
        <v>4.7433333333333334E-2</v>
      </c>
      <c r="K178" t="str">
        <f t="shared" si="13"/>
        <v>$0-$0.05</v>
      </c>
      <c r="L178" t="str">
        <f t="shared" si="14"/>
        <v>0-5</v>
      </c>
    </row>
    <row r="179" spans="1:12" x14ac:dyDescent="0.35">
      <c r="A179" t="s">
        <v>731</v>
      </c>
      <c r="B179" t="s">
        <v>732</v>
      </c>
      <c r="C179">
        <v>3.4599999999999999E-2</v>
      </c>
      <c r="D179">
        <v>1.6400000000000001E-2</v>
      </c>
      <c r="E179">
        <v>2.4E-2</v>
      </c>
      <c r="F179">
        <v>0.1933</v>
      </c>
      <c r="G179">
        <v>6569910</v>
      </c>
      <c r="H179">
        <f t="shared" si="10"/>
        <v>3.5450819672131144E-2</v>
      </c>
      <c r="I179">
        <f t="shared" si="11"/>
        <v>2.8995223330260621E-2</v>
      </c>
      <c r="J179">
        <f t="shared" si="12"/>
        <v>7.7900000000000011E-2</v>
      </c>
      <c r="K179" t="str">
        <f t="shared" si="13"/>
        <v>$0-$0.05</v>
      </c>
      <c r="L179" t="str">
        <f t="shared" si="14"/>
        <v>0-5</v>
      </c>
    </row>
    <row r="180" spans="1:12" x14ac:dyDescent="0.35">
      <c r="A180" t="s">
        <v>733</v>
      </c>
      <c r="B180" t="s">
        <v>734</v>
      </c>
      <c r="C180">
        <v>6.7000000000000002E-3</v>
      </c>
      <c r="D180">
        <v>1.5299999999999999E-2</v>
      </c>
      <c r="E180">
        <v>9.06E-2</v>
      </c>
      <c r="F180">
        <v>0.1019</v>
      </c>
      <c r="G180">
        <v>6562250</v>
      </c>
      <c r="H180">
        <f t="shared" si="10"/>
        <v>7.3674950516824282E-3</v>
      </c>
      <c r="I180">
        <f t="shared" si="11"/>
        <v>6.0804065704691893E-3</v>
      </c>
      <c r="J180">
        <f t="shared" si="12"/>
        <v>6.9266666666666657E-2</v>
      </c>
      <c r="K180" t="str">
        <f t="shared" si="13"/>
        <v>$0-$0.05</v>
      </c>
      <c r="L180" t="str">
        <f t="shared" si="14"/>
        <v>0-5</v>
      </c>
    </row>
    <row r="181" spans="1:12" x14ac:dyDescent="0.35">
      <c r="A181" t="s">
        <v>101</v>
      </c>
      <c r="B181" t="s">
        <v>102</v>
      </c>
      <c r="C181">
        <v>2.9999999999999997E-4</v>
      </c>
      <c r="D181">
        <v>6.8999999999999999E-3</v>
      </c>
      <c r="E181">
        <v>5.0000000000000001E-3</v>
      </c>
      <c r="F181">
        <v>0.17530000000000001</v>
      </c>
      <c r="G181">
        <v>6545173</v>
      </c>
      <c r="H181">
        <f t="shared" si="10"/>
        <v>3.0150753768844218E-4</v>
      </c>
      <c r="I181">
        <f t="shared" si="11"/>
        <v>2.5525397770781926E-4</v>
      </c>
      <c r="J181">
        <f t="shared" si="12"/>
        <v>6.2400000000000004E-2</v>
      </c>
      <c r="K181" t="str">
        <f t="shared" si="13"/>
        <v>$0-$0.05</v>
      </c>
      <c r="L181" t="str">
        <f t="shared" si="14"/>
        <v>0-5</v>
      </c>
    </row>
    <row r="182" spans="1:12" x14ac:dyDescent="0.35">
      <c r="A182" t="s">
        <v>735</v>
      </c>
      <c r="B182" t="s">
        <v>736</v>
      </c>
      <c r="C182">
        <v>1.5599999999999999E-2</v>
      </c>
      <c r="D182">
        <v>6.9999999999999999E-4</v>
      </c>
      <c r="E182">
        <v>1.0500000000000001E-2</v>
      </c>
      <c r="F182">
        <v>3.2099999999999997E-2</v>
      </c>
      <c r="G182">
        <v>5244745</v>
      </c>
      <c r="H182">
        <f t="shared" si="10"/>
        <v>1.5765538150581099E-2</v>
      </c>
      <c r="I182">
        <f t="shared" si="11"/>
        <v>1.5114814455963568E-2</v>
      </c>
      <c r="J182">
        <f t="shared" si="12"/>
        <v>1.4433333333333333E-2</v>
      </c>
      <c r="K182" t="str">
        <f t="shared" si="13"/>
        <v>$0-$0.05</v>
      </c>
      <c r="L182" t="str">
        <f t="shared" si="14"/>
        <v>0-5</v>
      </c>
    </row>
    <row r="183" spans="1:12" x14ac:dyDescent="0.35">
      <c r="A183" t="s">
        <v>737</v>
      </c>
      <c r="B183" t="s">
        <v>738</v>
      </c>
      <c r="C183">
        <v>0.13139999999999999</v>
      </c>
      <c r="D183">
        <v>5.0000000000000001E-4</v>
      </c>
      <c r="E183">
        <v>2.5000000000000001E-3</v>
      </c>
      <c r="F183">
        <v>7.0699999999999999E-2</v>
      </c>
      <c r="G183">
        <v>5243911</v>
      </c>
      <c r="H183">
        <f t="shared" si="10"/>
        <v>0.13172932330827067</v>
      </c>
      <c r="I183">
        <f t="shared" si="11"/>
        <v>0.12272345194732417</v>
      </c>
      <c r="J183">
        <f t="shared" si="12"/>
        <v>2.4566666666666667E-2</v>
      </c>
      <c r="K183" t="str">
        <f t="shared" si="13"/>
        <v>$0.05-$0.5</v>
      </c>
      <c r="L183" t="str">
        <f t="shared" si="14"/>
        <v>0-5</v>
      </c>
    </row>
    <row r="184" spans="1:12" x14ac:dyDescent="0.35">
      <c r="A184" t="s">
        <v>739</v>
      </c>
      <c r="B184" t="s">
        <v>740</v>
      </c>
      <c r="C184">
        <v>75.55</v>
      </c>
      <c r="D184">
        <v>1.8499999999999999E-2</v>
      </c>
      <c r="E184">
        <v>4.5499999999999999E-2</v>
      </c>
      <c r="F184">
        <v>0.1157</v>
      </c>
      <c r="G184">
        <v>5224340</v>
      </c>
      <c r="H184">
        <f t="shared" si="10"/>
        <v>79.151388161341018</v>
      </c>
      <c r="I184">
        <f t="shared" si="11"/>
        <v>67.715335663708885</v>
      </c>
      <c r="J184">
        <f t="shared" si="12"/>
        <v>5.9900000000000002E-2</v>
      </c>
      <c r="K184" t="str">
        <f t="shared" si="13"/>
        <v>&gt;$50</v>
      </c>
      <c r="L184" t="str">
        <f t="shared" si="14"/>
        <v>Above 5</v>
      </c>
    </row>
    <row r="185" spans="1:12" x14ac:dyDescent="0.35">
      <c r="A185" t="s">
        <v>741</v>
      </c>
      <c r="B185" t="s">
        <v>742</v>
      </c>
      <c r="C185">
        <v>6.3E-3</v>
      </c>
      <c r="D185">
        <v>1.4E-3</v>
      </c>
      <c r="E185">
        <v>3.8999999999999998E-3</v>
      </c>
      <c r="F185">
        <v>0.1046</v>
      </c>
      <c r="G185">
        <v>5210287</v>
      </c>
      <c r="H185">
        <f t="shared" si="10"/>
        <v>6.3246661981728744E-3</v>
      </c>
      <c r="I185">
        <f t="shared" si="11"/>
        <v>5.7034220532319393E-3</v>
      </c>
      <c r="J185">
        <f t="shared" si="12"/>
        <v>3.663333333333333E-2</v>
      </c>
      <c r="K185" t="str">
        <f t="shared" si="13"/>
        <v>$0-$0.05</v>
      </c>
      <c r="L185" t="str">
        <f t="shared" si="14"/>
        <v>0-5</v>
      </c>
    </row>
    <row r="186" spans="1:12" x14ac:dyDescent="0.35">
      <c r="A186" t="s">
        <v>743</v>
      </c>
      <c r="B186" t="s">
        <v>744</v>
      </c>
      <c r="C186">
        <v>1.77E-2</v>
      </c>
      <c r="D186">
        <v>1.1000000000000001E-3</v>
      </c>
      <c r="E186">
        <v>9.1000000000000004E-3</v>
      </c>
      <c r="F186">
        <v>8.0999999999999996E-3</v>
      </c>
      <c r="G186">
        <v>5199183</v>
      </c>
      <c r="H186">
        <f t="shared" si="10"/>
        <v>1.786254919769906E-2</v>
      </c>
      <c r="I186">
        <f t="shared" si="11"/>
        <v>1.7557781966074795E-2</v>
      </c>
      <c r="J186">
        <f t="shared" si="12"/>
        <v>6.1000000000000004E-3</v>
      </c>
      <c r="K186" t="str">
        <f t="shared" si="13"/>
        <v>$0-$0.05</v>
      </c>
      <c r="L186" t="str">
        <f t="shared" si="14"/>
        <v>0-5</v>
      </c>
    </row>
    <row r="187" spans="1:12" x14ac:dyDescent="0.35">
      <c r="A187" t="s">
        <v>745</v>
      </c>
      <c r="B187" t="s">
        <v>746</v>
      </c>
      <c r="C187">
        <v>210.36</v>
      </c>
      <c r="D187">
        <v>3.8E-3</v>
      </c>
      <c r="E187">
        <v>8.6E-3</v>
      </c>
      <c r="F187">
        <v>1.9900000000000001E-2</v>
      </c>
      <c r="G187">
        <v>5190430</v>
      </c>
      <c r="H187">
        <f t="shared" si="10"/>
        <v>212.18478918700831</v>
      </c>
      <c r="I187">
        <f t="shared" si="11"/>
        <v>206.25551524659281</v>
      </c>
      <c r="J187">
        <f t="shared" si="12"/>
        <v>1.0766666666666667E-2</v>
      </c>
      <c r="K187" t="str">
        <f t="shared" si="13"/>
        <v>&gt;$50</v>
      </c>
      <c r="L187" t="str">
        <f t="shared" si="14"/>
        <v>Above 5</v>
      </c>
    </row>
    <row r="188" spans="1:12" x14ac:dyDescent="0.35">
      <c r="A188" t="s">
        <v>747</v>
      </c>
      <c r="B188" t="s">
        <v>748</v>
      </c>
      <c r="C188">
        <v>0.04</v>
      </c>
      <c r="D188">
        <v>5.9999999999999995E-4</v>
      </c>
      <c r="E188">
        <v>5.9999999999999995E-4</v>
      </c>
      <c r="F188">
        <v>0.1028</v>
      </c>
      <c r="G188">
        <v>5185318</v>
      </c>
      <c r="H188">
        <f t="shared" si="10"/>
        <v>4.0024014408645191E-2</v>
      </c>
      <c r="I188">
        <f t="shared" si="11"/>
        <v>3.6271309394269133E-2</v>
      </c>
      <c r="J188">
        <f t="shared" si="12"/>
        <v>3.4666666666666672E-2</v>
      </c>
      <c r="K188" t="str">
        <f t="shared" si="13"/>
        <v>$0-$0.05</v>
      </c>
      <c r="L188" t="str">
        <f t="shared" si="14"/>
        <v>0-5</v>
      </c>
    </row>
    <row r="189" spans="1:12" x14ac:dyDescent="0.35">
      <c r="A189" t="s">
        <v>749</v>
      </c>
      <c r="B189" t="s">
        <v>750</v>
      </c>
      <c r="C189">
        <v>1.58</v>
      </c>
      <c r="D189">
        <v>6.4000000000000003E-3</v>
      </c>
      <c r="E189">
        <v>8.9899999999999994E-2</v>
      </c>
      <c r="F189">
        <v>0.1651</v>
      </c>
      <c r="G189">
        <v>5177239</v>
      </c>
      <c r="H189">
        <f t="shared" si="10"/>
        <v>1.7360729590154929</v>
      </c>
      <c r="I189">
        <f t="shared" si="11"/>
        <v>1.3561067719509055</v>
      </c>
      <c r="J189">
        <f t="shared" si="12"/>
        <v>8.7133333333333327E-2</v>
      </c>
      <c r="K189" t="str">
        <f t="shared" si="13"/>
        <v>$0.5-$5</v>
      </c>
      <c r="L189" t="str">
        <f t="shared" si="14"/>
        <v>0-5</v>
      </c>
    </row>
    <row r="190" spans="1:12" x14ac:dyDescent="0.35">
      <c r="A190" t="s">
        <v>407</v>
      </c>
      <c r="B190" t="s">
        <v>408</v>
      </c>
      <c r="C190">
        <v>1.8E-3</v>
      </c>
      <c r="D190">
        <v>1.01E-2</v>
      </c>
      <c r="E190">
        <v>5.0000000000000001E-4</v>
      </c>
      <c r="F190">
        <v>0.31819999999999998</v>
      </c>
      <c r="G190">
        <v>5174088</v>
      </c>
      <c r="H190">
        <f t="shared" si="10"/>
        <v>1.8009004502251124E-3</v>
      </c>
      <c r="I190">
        <f t="shared" si="11"/>
        <v>1.3654984069185253E-3</v>
      </c>
      <c r="J190">
        <f t="shared" si="12"/>
        <v>0.10959999999999999</v>
      </c>
      <c r="K190" t="str">
        <f t="shared" si="13"/>
        <v>$0-$0.05</v>
      </c>
      <c r="L190" t="str">
        <f t="shared" si="14"/>
        <v>0-5</v>
      </c>
    </row>
    <row r="191" spans="1:12" x14ac:dyDescent="0.35">
      <c r="A191" t="s">
        <v>751</v>
      </c>
      <c r="B191" t="s">
        <v>752</v>
      </c>
      <c r="C191">
        <v>3.5999999999999999E-3</v>
      </c>
      <c r="D191">
        <v>1E-4</v>
      </c>
      <c r="E191">
        <v>1.35E-2</v>
      </c>
      <c r="F191">
        <v>1.11E-2</v>
      </c>
      <c r="G191">
        <v>5171927</v>
      </c>
      <c r="H191">
        <f t="shared" si="10"/>
        <v>3.6492650785605674E-3</v>
      </c>
      <c r="I191">
        <f t="shared" si="11"/>
        <v>3.5604786865789731E-3</v>
      </c>
      <c r="J191">
        <f t="shared" si="12"/>
        <v>8.2333333333333338E-3</v>
      </c>
      <c r="K191" t="str">
        <f t="shared" si="13"/>
        <v>$0-$0.05</v>
      </c>
      <c r="L191" t="str">
        <f t="shared" si="14"/>
        <v>0-5</v>
      </c>
    </row>
    <row r="192" spans="1:12" x14ac:dyDescent="0.35">
      <c r="A192" t="s">
        <v>753</v>
      </c>
      <c r="B192" t="s">
        <v>754</v>
      </c>
      <c r="C192">
        <v>1.14E-2</v>
      </c>
      <c r="D192">
        <v>2.0000000000000001E-4</v>
      </c>
      <c r="E192">
        <v>1.6199999999999999E-2</v>
      </c>
      <c r="F192">
        <v>9.5500000000000002E-2</v>
      </c>
      <c r="G192">
        <v>5153979</v>
      </c>
      <c r="H192">
        <f t="shared" si="10"/>
        <v>1.1587721081520634E-2</v>
      </c>
      <c r="I192">
        <f t="shared" si="11"/>
        <v>1.0406207211319034E-2</v>
      </c>
      <c r="J192">
        <f t="shared" si="12"/>
        <v>3.73E-2</v>
      </c>
      <c r="K192" t="str">
        <f t="shared" si="13"/>
        <v>$0-$0.05</v>
      </c>
      <c r="L192" t="str">
        <f t="shared" si="14"/>
        <v>0-5</v>
      </c>
    </row>
    <row r="193" spans="1:12" x14ac:dyDescent="0.35">
      <c r="A193" t="s">
        <v>755</v>
      </c>
      <c r="B193" t="s">
        <v>756</v>
      </c>
      <c r="C193">
        <v>1.6999999999999999E-3</v>
      </c>
      <c r="D193">
        <v>0</v>
      </c>
      <c r="E193">
        <v>3.7000000000000002E-3</v>
      </c>
      <c r="F193">
        <v>0.3387</v>
      </c>
      <c r="G193">
        <v>5139233</v>
      </c>
      <c r="H193">
        <f t="shared" si="10"/>
        <v>1.7063133594298905E-3</v>
      </c>
      <c r="I193">
        <f t="shared" si="11"/>
        <v>1.2698886979905879E-3</v>
      </c>
      <c r="J193">
        <f t="shared" si="12"/>
        <v>0.11413333333333332</v>
      </c>
      <c r="K193" t="str">
        <f t="shared" si="13"/>
        <v>$0-$0.05</v>
      </c>
      <c r="L193" t="str">
        <f t="shared" si="14"/>
        <v>0-5</v>
      </c>
    </row>
    <row r="194" spans="1:12" x14ac:dyDescent="0.35">
      <c r="A194" t="s">
        <v>757</v>
      </c>
      <c r="B194" t="s">
        <v>758</v>
      </c>
      <c r="C194">
        <v>5.5100000000000003E-2</v>
      </c>
      <c r="D194">
        <v>6.6E-3</v>
      </c>
      <c r="E194">
        <v>4.4200000000000003E-2</v>
      </c>
      <c r="F194">
        <v>0.18379999999999999</v>
      </c>
      <c r="G194">
        <v>5134806</v>
      </c>
      <c r="H194">
        <f t="shared" ref="H194:H257" si="15">C194/(1-E194)</f>
        <v>5.7648043523749741E-2</v>
      </c>
      <c r="I194">
        <f t="shared" ref="I194:I257" si="16">C194/(1+F194)</f>
        <v>4.6545024497381321E-2</v>
      </c>
      <c r="J194">
        <f t="shared" ref="J194:J257" si="17">AVERAGE(D194,E194,F194)</f>
        <v>7.8200000000000006E-2</v>
      </c>
      <c r="K194" t="str">
        <f t="shared" ref="K194:K257" si="18">IF(C194&lt;=0.05,"$0-$0.05",
IF(C194&lt;=0.5,"$0.05-$0.5",
IF(C194&lt;=5,"$0.5-$5",
IF(C194&lt;=50,"$5-$50",
"&gt;$50"))))</f>
        <v>$0.05-$0.5</v>
      </c>
      <c r="L194" t="str">
        <f t="shared" ref="L194:L257" si="19">IF(AND(C194&gt;=0,C194&lt;=5),"0-5","Above 5")</f>
        <v>0-5</v>
      </c>
    </row>
    <row r="195" spans="1:12" x14ac:dyDescent="0.35">
      <c r="A195" t="s">
        <v>759</v>
      </c>
      <c r="B195" t="s">
        <v>759</v>
      </c>
      <c r="C195">
        <v>5.1000000000000004E-3</v>
      </c>
      <c r="D195">
        <v>2.93E-2</v>
      </c>
      <c r="E195">
        <v>2.5399999999999999E-2</v>
      </c>
      <c r="F195">
        <v>0.1857</v>
      </c>
      <c r="G195">
        <v>5110161</v>
      </c>
      <c r="H195">
        <f t="shared" si="15"/>
        <v>5.2329160681305158E-3</v>
      </c>
      <c r="I195">
        <f t="shared" si="16"/>
        <v>4.3012566416462854E-3</v>
      </c>
      <c r="J195">
        <f t="shared" si="17"/>
        <v>8.0133333333333334E-2</v>
      </c>
      <c r="K195" t="str">
        <f t="shared" si="18"/>
        <v>$0-$0.05</v>
      </c>
      <c r="L195" t="str">
        <f t="shared" si="19"/>
        <v>0-5</v>
      </c>
    </row>
    <row r="196" spans="1:12" x14ac:dyDescent="0.35">
      <c r="A196" t="s">
        <v>760</v>
      </c>
      <c r="B196" t="s">
        <v>761</v>
      </c>
      <c r="C196">
        <v>6.9999999999999999E-4</v>
      </c>
      <c r="D196">
        <v>1.35E-2</v>
      </c>
      <c r="E196">
        <v>5.3E-3</v>
      </c>
      <c r="F196">
        <v>0.3523</v>
      </c>
      <c r="G196">
        <v>5111668</v>
      </c>
      <c r="H196">
        <f t="shared" si="15"/>
        <v>7.0372976776917663E-4</v>
      </c>
      <c r="I196">
        <f t="shared" si="16"/>
        <v>5.1763661909339637E-4</v>
      </c>
      <c r="J196">
        <f t="shared" si="17"/>
        <v>0.12369999999999999</v>
      </c>
      <c r="K196" t="str">
        <f t="shared" si="18"/>
        <v>$0-$0.05</v>
      </c>
      <c r="L196" t="str">
        <f t="shared" si="19"/>
        <v>0-5</v>
      </c>
    </row>
    <row r="197" spans="1:12" x14ac:dyDescent="0.35">
      <c r="A197" t="s">
        <v>762</v>
      </c>
      <c r="B197" t="s">
        <v>763</v>
      </c>
      <c r="C197">
        <v>0.3286</v>
      </c>
      <c r="D197">
        <v>9.4999999999999998E-3</v>
      </c>
      <c r="E197">
        <v>3.7400000000000003E-2</v>
      </c>
      <c r="F197">
        <v>0.10879999999999999</v>
      </c>
      <c r="G197">
        <v>4103045</v>
      </c>
      <c r="H197">
        <f t="shared" si="15"/>
        <v>0.34136713068772073</v>
      </c>
      <c r="I197">
        <f t="shared" si="16"/>
        <v>0.29635642135642137</v>
      </c>
      <c r="J197">
        <f t="shared" si="17"/>
        <v>5.1900000000000002E-2</v>
      </c>
      <c r="K197" t="str">
        <f t="shared" si="18"/>
        <v>$0.05-$0.5</v>
      </c>
      <c r="L197" t="str">
        <f t="shared" si="19"/>
        <v>0-5</v>
      </c>
    </row>
    <row r="198" spans="1:12" x14ac:dyDescent="0.35">
      <c r="A198" t="s">
        <v>764</v>
      </c>
      <c r="B198" t="s">
        <v>765</v>
      </c>
      <c r="C198">
        <v>8.9999999999999998E-4</v>
      </c>
      <c r="D198">
        <v>1E-4</v>
      </c>
      <c r="E198">
        <v>1.24E-2</v>
      </c>
      <c r="F198">
        <v>0.128</v>
      </c>
      <c r="G198">
        <v>4097567</v>
      </c>
      <c r="H198">
        <f t="shared" si="15"/>
        <v>9.1130012150668284E-4</v>
      </c>
      <c r="I198">
        <f t="shared" si="16"/>
        <v>7.9787234042553177E-4</v>
      </c>
      <c r="J198">
        <f t="shared" si="17"/>
        <v>4.6833333333333338E-2</v>
      </c>
      <c r="K198" t="str">
        <f t="shared" si="18"/>
        <v>$0-$0.05</v>
      </c>
      <c r="L198" t="str">
        <f t="shared" si="19"/>
        <v>0-5</v>
      </c>
    </row>
    <row r="199" spans="1:12" x14ac:dyDescent="0.35">
      <c r="A199" t="s">
        <v>766</v>
      </c>
      <c r="B199" t="s">
        <v>767</v>
      </c>
      <c r="C199">
        <v>532.35</v>
      </c>
      <c r="D199">
        <v>5.0000000000000001E-4</v>
      </c>
      <c r="E199">
        <v>1.1999999999999999E-3</v>
      </c>
      <c r="F199">
        <v>6.7000000000000002E-3</v>
      </c>
      <c r="G199">
        <v>4096409</v>
      </c>
      <c r="H199">
        <f t="shared" si="15"/>
        <v>532.98958750500606</v>
      </c>
      <c r="I199">
        <f t="shared" si="16"/>
        <v>528.80699314592243</v>
      </c>
      <c r="J199">
        <f t="shared" si="17"/>
        <v>2.8E-3</v>
      </c>
      <c r="K199" t="str">
        <f t="shared" si="18"/>
        <v>&gt;$50</v>
      </c>
      <c r="L199" t="str">
        <f t="shared" si="19"/>
        <v>Above 5</v>
      </c>
    </row>
    <row r="200" spans="1:12" x14ac:dyDescent="0.35">
      <c r="A200" t="s">
        <v>768</v>
      </c>
      <c r="B200" t="s">
        <v>769</v>
      </c>
      <c r="C200">
        <v>2.0400000000000001E-2</v>
      </c>
      <c r="D200">
        <v>1E-4</v>
      </c>
      <c r="E200">
        <v>4.0000000000000002E-4</v>
      </c>
      <c r="F200">
        <v>5.0000000000000001E-4</v>
      </c>
      <c r="G200">
        <v>4083796</v>
      </c>
      <c r="H200">
        <f t="shared" si="15"/>
        <v>2.0408163265306124E-2</v>
      </c>
      <c r="I200">
        <f t="shared" si="16"/>
        <v>2.0389805097451277E-2</v>
      </c>
      <c r="J200">
        <f t="shared" si="17"/>
        <v>3.3333333333333332E-4</v>
      </c>
      <c r="K200" t="str">
        <f t="shared" si="18"/>
        <v>$0-$0.05</v>
      </c>
      <c r="L200" t="str">
        <f t="shared" si="19"/>
        <v>0-5</v>
      </c>
    </row>
    <row r="201" spans="1:12" x14ac:dyDescent="0.35">
      <c r="A201" t="s">
        <v>770</v>
      </c>
      <c r="B201" t="s">
        <v>771</v>
      </c>
      <c r="C201">
        <v>4.1000000000000003E-3</v>
      </c>
      <c r="D201">
        <v>5.8999999999999999E-3</v>
      </c>
      <c r="E201">
        <v>6.0000000000000001E-3</v>
      </c>
      <c r="F201">
        <v>1.7899999999999999E-2</v>
      </c>
      <c r="G201">
        <v>4071885</v>
      </c>
      <c r="H201">
        <f t="shared" si="15"/>
        <v>4.124748490945674E-3</v>
      </c>
      <c r="I201">
        <f t="shared" si="16"/>
        <v>4.0279005796247181E-3</v>
      </c>
      <c r="J201">
        <f t="shared" si="17"/>
        <v>9.9333333333333339E-3</v>
      </c>
      <c r="K201" t="str">
        <f t="shared" si="18"/>
        <v>$0-$0.05</v>
      </c>
      <c r="L201" t="str">
        <f t="shared" si="19"/>
        <v>0-5</v>
      </c>
    </row>
    <row r="202" spans="1:12" x14ac:dyDescent="0.35">
      <c r="A202" t="s">
        <v>772</v>
      </c>
      <c r="B202" t="s">
        <v>773</v>
      </c>
      <c r="C202">
        <v>0.41499999999999998</v>
      </c>
      <c r="D202">
        <v>0</v>
      </c>
      <c r="E202">
        <v>4.87E-2</v>
      </c>
      <c r="F202">
        <v>0.12570000000000001</v>
      </c>
      <c r="G202">
        <v>4068481</v>
      </c>
      <c r="H202">
        <f t="shared" si="15"/>
        <v>0.43624513823189315</v>
      </c>
      <c r="I202">
        <f t="shared" si="16"/>
        <v>0.36865950075508575</v>
      </c>
      <c r="J202">
        <f t="shared" si="17"/>
        <v>5.8133333333333335E-2</v>
      </c>
      <c r="K202" t="str">
        <f t="shared" si="18"/>
        <v>$0.05-$0.5</v>
      </c>
      <c r="L202" t="str">
        <f t="shared" si="19"/>
        <v>0-5</v>
      </c>
    </row>
    <row r="203" spans="1:12" x14ac:dyDescent="0.35">
      <c r="A203" t="s">
        <v>774</v>
      </c>
      <c r="B203" t="s">
        <v>775</v>
      </c>
      <c r="C203">
        <v>7.7000000000000002E-3</v>
      </c>
      <c r="D203">
        <v>2.9999999999999997E-4</v>
      </c>
      <c r="E203">
        <v>2.2599999999999999E-2</v>
      </c>
      <c r="F203">
        <v>3.0499999999999999E-2</v>
      </c>
      <c r="G203">
        <v>4061035</v>
      </c>
      <c r="H203">
        <f t="shared" si="15"/>
        <v>7.8780437896459991E-3</v>
      </c>
      <c r="I203">
        <f t="shared" si="16"/>
        <v>7.4721009218825813E-3</v>
      </c>
      <c r="J203">
        <f t="shared" si="17"/>
        <v>1.78E-2</v>
      </c>
      <c r="K203" t="str">
        <f t="shared" si="18"/>
        <v>$0-$0.05</v>
      </c>
      <c r="L203" t="str">
        <f t="shared" si="19"/>
        <v>0-5</v>
      </c>
    </row>
    <row r="204" spans="1:12" x14ac:dyDescent="0.35">
      <c r="A204" t="s">
        <v>433</v>
      </c>
      <c r="B204" t="s">
        <v>434</v>
      </c>
      <c r="C204">
        <v>0.18160000000000001</v>
      </c>
      <c r="D204">
        <v>3.0000000000000001E-3</v>
      </c>
      <c r="E204">
        <v>1.2999999999999999E-3</v>
      </c>
      <c r="F204">
        <v>0.22650000000000001</v>
      </c>
      <c r="G204">
        <v>4060065</v>
      </c>
      <c r="H204">
        <f t="shared" si="15"/>
        <v>0.18183638730349455</v>
      </c>
      <c r="I204">
        <f t="shared" si="16"/>
        <v>0.1480635955972279</v>
      </c>
      <c r="J204">
        <f t="shared" si="17"/>
        <v>7.693333333333334E-2</v>
      </c>
      <c r="K204" t="str">
        <f t="shared" si="18"/>
        <v>$0.05-$0.5</v>
      </c>
      <c r="L204" t="str">
        <f t="shared" si="19"/>
        <v>0-5</v>
      </c>
    </row>
    <row r="205" spans="1:12" x14ac:dyDescent="0.35">
      <c r="A205" t="s">
        <v>115</v>
      </c>
      <c r="B205" t="s">
        <v>116</v>
      </c>
      <c r="C205">
        <v>5.9700000000000003E-2</v>
      </c>
      <c r="D205">
        <v>1.44E-2</v>
      </c>
      <c r="E205">
        <v>4.1999999999999997E-3</v>
      </c>
      <c r="F205">
        <v>0.1358</v>
      </c>
      <c r="G205">
        <v>4028261</v>
      </c>
      <c r="H205">
        <f t="shared" si="15"/>
        <v>5.995179754970878E-2</v>
      </c>
      <c r="I205">
        <f t="shared" si="16"/>
        <v>5.2562070787110414E-2</v>
      </c>
      <c r="J205">
        <f t="shared" si="17"/>
        <v>5.1466666666666668E-2</v>
      </c>
      <c r="K205" t="str">
        <f t="shared" si="18"/>
        <v>$0.05-$0.5</v>
      </c>
      <c r="L205" t="str">
        <f t="shared" si="19"/>
        <v>0-5</v>
      </c>
    </row>
    <row r="206" spans="1:12" x14ac:dyDescent="0.35">
      <c r="A206" t="s">
        <v>425</v>
      </c>
      <c r="B206" t="s">
        <v>426</v>
      </c>
      <c r="C206">
        <v>0</v>
      </c>
      <c r="D206">
        <v>2.8999999999999998E-3</v>
      </c>
      <c r="E206">
        <v>8.6999999999999994E-3</v>
      </c>
      <c r="F206">
        <v>7.1400000000000005E-2</v>
      </c>
      <c r="G206">
        <v>4026637</v>
      </c>
      <c r="H206">
        <f t="shared" si="15"/>
        <v>0</v>
      </c>
      <c r="I206">
        <f t="shared" si="16"/>
        <v>0</v>
      </c>
      <c r="J206">
        <f t="shared" si="17"/>
        <v>2.7666666666666669E-2</v>
      </c>
      <c r="K206" t="str">
        <f t="shared" si="18"/>
        <v>$0-$0.05</v>
      </c>
      <c r="L206" t="str">
        <f t="shared" si="19"/>
        <v>0-5</v>
      </c>
    </row>
    <row r="207" spans="1:12" x14ac:dyDescent="0.35">
      <c r="A207" t="s">
        <v>776</v>
      </c>
      <c r="B207" t="s">
        <v>777</v>
      </c>
      <c r="C207">
        <v>0.28149999999999997</v>
      </c>
      <c r="D207">
        <v>3.8300000000000001E-2</v>
      </c>
      <c r="E207">
        <v>4.82E-2</v>
      </c>
      <c r="F207">
        <v>0.13170000000000001</v>
      </c>
      <c r="G207">
        <v>4017244</v>
      </c>
      <c r="H207">
        <f t="shared" si="15"/>
        <v>0.29575541080058831</v>
      </c>
      <c r="I207">
        <f t="shared" si="16"/>
        <v>0.24874083237607139</v>
      </c>
      <c r="J207">
        <f t="shared" si="17"/>
        <v>7.273333333333333E-2</v>
      </c>
      <c r="K207" t="str">
        <f t="shared" si="18"/>
        <v>$0.05-$0.5</v>
      </c>
      <c r="L207" t="str">
        <f t="shared" si="19"/>
        <v>0-5</v>
      </c>
    </row>
    <row r="208" spans="1:12" x14ac:dyDescent="0.35">
      <c r="A208" t="s">
        <v>778</v>
      </c>
      <c r="B208" t="s">
        <v>779</v>
      </c>
      <c r="C208">
        <v>8.9999999999999998E-4</v>
      </c>
      <c r="D208">
        <v>5.3E-3</v>
      </c>
      <c r="E208">
        <v>7.4099999999999999E-2</v>
      </c>
      <c r="F208">
        <v>2.0400000000000001E-2</v>
      </c>
      <c r="G208">
        <v>4010509</v>
      </c>
      <c r="H208">
        <f t="shared" si="15"/>
        <v>9.7202721676206932E-4</v>
      </c>
      <c r="I208">
        <f t="shared" si="16"/>
        <v>8.8200705605644841E-4</v>
      </c>
      <c r="J208">
        <f t="shared" si="17"/>
        <v>3.3266666666666667E-2</v>
      </c>
      <c r="K208" t="str">
        <f t="shared" si="18"/>
        <v>$0-$0.05</v>
      </c>
      <c r="L208" t="str">
        <f t="shared" si="19"/>
        <v>0-5</v>
      </c>
    </row>
    <row r="209" spans="1:12" x14ac:dyDescent="0.35">
      <c r="A209" t="s">
        <v>113</v>
      </c>
      <c r="B209" t="s">
        <v>114</v>
      </c>
      <c r="C209">
        <v>8.5000000000000006E-3</v>
      </c>
      <c r="D209">
        <v>1.8E-3</v>
      </c>
      <c r="E209">
        <v>1.8599999999999998E-2</v>
      </c>
      <c r="F209">
        <v>0.1024</v>
      </c>
      <c r="G209">
        <v>3984716</v>
      </c>
      <c r="H209">
        <f t="shared" si="15"/>
        <v>8.6610963929080898E-3</v>
      </c>
      <c r="I209">
        <f t="shared" si="16"/>
        <v>7.7104499274310593E-3</v>
      </c>
      <c r="J209">
        <f t="shared" si="17"/>
        <v>4.0933333333333335E-2</v>
      </c>
      <c r="K209" t="str">
        <f t="shared" si="18"/>
        <v>$0-$0.05</v>
      </c>
      <c r="L209" t="str">
        <f t="shared" si="19"/>
        <v>0-5</v>
      </c>
    </row>
    <row r="210" spans="1:12" x14ac:dyDescent="0.35">
      <c r="A210" t="s">
        <v>427</v>
      </c>
      <c r="B210" t="s">
        <v>428</v>
      </c>
      <c r="C210">
        <v>4.4999999999999997E-3</v>
      </c>
      <c r="D210">
        <v>2.5999999999999999E-3</v>
      </c>
      <c r="E210">
        <v>7.9000000000000008E-3</v>
      </c>
      <c r="F210">
        <v>7.1999999999999995E-2</v>
      </c>
      <c r="G210">
        <v>3982230</v>
      </c>
      <c r="H210">
        <f t="shared" si="15"/>
        <v>4.5358330813426067E-3</v>
      </c>
      <c r="I210">
        <f t="shared" si="16"/>
        <v>4.1977611940298499E-3</v>
      </c>
      <c r="J210">
        <f t="shared" si="17"/>
        <v>2.7499999999999997E-2</v>
      </c>
      <c r="K210" t="str">
        <f t="shared" si="18"/>
        <v>$0-$0.05</v>
      </c>
      <c r="L210" t="str">
        <f t="shared" si="19"/>
        <v>0-5</v>
      </c>
    </row>
    <row r="211" spans="1:12" x14ac:dyDescent="0.35">
      <c r="A211" t="s">
        <v>780</v>
      </c>
      <c r="B211" t="s">
        <v>781</v>
      </c>
      <c r="C211">
        <v>4.0800000000000003E-2</v>
      </c>
      <c r="D211">
        <v>2.9000000000000001E-2</v>
      </c>
      <c r="E211">
        <v>0.13600000000000001</v>
      </c>
      <c r="F211">
        <v>0.1588</v>
      </c>
      <c r="G211">
        <v>3977798</v>
      </c>
      <c r="H211">
        <f t="shared" si="15"/>
        <v>4.7222222222222228E-2</v>
      </c>
      <c r="I211">
        <f t="shared" si="16"/>
        <v>3.5208836727649295E-2</v>
      </c>
      <c r="J211">
        <f t="shared" si="17"/>
        <v>0.10793333333333333</v>
      </c>
      <c r="K211" t="str">
        <f t="shared" si="18"/>
        <v>$0-$0.05</v>
      </c>
      <c r="L211" t="str">
        <f t="shared" si="19"/>
        <v>0-5</v>
      </c>
    </row>
    <row r="212" spans="1:12" x14ac:dyDescent="0.35">
      <c r="A212" t="s">
        <v>782</v>
      </c>
      <c r="B212" t="s">
        <v>783</v>
      </c>
      <c r="C212">
        <v>1.2699999999999999E-2</v>
      </c>
      <c r="D212">
        <v>6.6E-3</v>
      </c>
      <c r="E212">
        <v>3.0000000000000001E-3</v>
      </c>
      <c r="F212">
        <v>0.20080000000000001</v>
      </c>
      <c r="G212">
        <v>3146028</v>
      </c>
      <c r="H212">
        <f t="shared" si="15"/>
        <v>1.2738214643931794E-2</v>
      </c>
      <c r="I212">
        <f t="shared" si="16"/>
        <v>1.0576282478347767E-2</v>
      </c>
      <c r="J212">
        <f t="shared" si="17"/>
        <v>7.0133333333333339E-2</v>
      </c>
      <c r="K212" t="str">
        <f t="shared" si="18"/>
        <v>$0-$0.05</v>
      </c>
      <c r="L212" t="str">
        <f t="shared" si="19"/>
        <v>0-5</v>
      </c>
    </row>
    <row r="213" spans="1:12" x14ac:dyDescent="0.35">
      <c r="A213" t="s">
        <v>784</v>
      </c>
      <c r="B213" t="s">
        <v>785</v>
      </c>
      <c r="C213">
        <v>5.1400000000000001E-2</v>
      </c>
      <c r="D213">
        <v>4.8999999999999998E-3</v>
      </c>
      <c r="E213">
        <v>6.0100000000000001E-2</v>
      </c>
      <c r="F213">
        <v>1.1900000000000001E-2</v>
      </c>
      <c r="G213">
        <v>3132765</v>
      </c>
      <c r="H213">
        <f t="shared" si="15"/>
        <v>5.4686668794552619E-2</v>
      </c>
      <c r="I213">
        <f t="shared" si="16"/>
        <v>5.0795533155450143E-2</v>
      </c>
      <c r="J213">
        <f t="shared" si="17"/>
        <v>2.5633333333333331E-2</v>
      </c>
      <c r="K213" t="str">
        <f t="shared" si="18"/>
        <v>$0.05-$0.5</v>
      </c>
      <c r="L213" t="str">
        <f t="shared" si="19"/>
        <v>0-5</v>
      </c>
    </row>
    <row r="214" spans="1:12" x14ac:dyDescent="0.35">
      <c r="A214" t="s">
        <v>786</v>
      </c>
      <c r="B214" t="s">
        <v>787</v>
      </c>
      <c r="C214">
        <v>123.65</v>
      </c>
      <c r="D214">
        <v>5.1000000000000004E-3</v>
      </c>
      <c r="E214">
        <v>7.7999999999999996E-3</v>
      </c>
      <c r="F214">
        <v>1.9300000000000001E-2</v>
      </c>
      <c r="G214">
        <v>3132466</v>
      </c>
      <c r="H214">
        <f t="shared" si="15"/>
        <v>124.62205200564404</v>
      </c>
      <c r="I214">
        <f t="shared" si="16"/>
        <v>121.30874129304424</v>
      </c>
      <c r="J214">
        <f t="shared" si="17"/>
        <v>1.0733333333333333E-2</v>
      </c>
      <c r="K214" t="str">
        <f t="shared" si="18"/>
        <v>&gt;$50</v>
      </c>
      <c r="L214" t="str">
        <f t="shared" si="19"/>
        <v>Above 5</v>
      </c>
    </row>
    <row r="215" spans="1:12" x14ac:dyDescent="0.35">
      <c r="A215" t="s">
        <v>453</v>
      </c>
      <c r="B215" t="s">
        <v>454</v>
      </c>
      <c r="C215">
        <v>8.3999999999999995E-3</v>
      </c>
      <c r="D215">
        <v>0</v>
      </c>
      <c r="E215">
        <v>3.15E-2</v>
      </c>
      <c r="F215">
        <v>0.14319999999999999</v>
      </c>
      <c r="G215">
        <v>3128601</v>
      </c>
      <c r="H215">
        <f t="shared" si="15"/>
        <v>8.6732059886422287E-3</v>
      </c>
      <c r="I215">
        <f t="shared" si="16"/>
        <v>7.3477956613016088E-3</v>
      </c>
      <c r="J215">
        <f t="shared" si="17"/>
        <v>5.8233333333333331E-2</v>
      </c>
      <c r="K215" t="str">
        <f t="shared" si="18"/>
        <v>$0-$0.05</v>
      </c>
      <c r="L215" t="str">
        <f t="shared" si="19"/>
        <v>0-5</v>
      </c>
    </row>
    <row r="216" spans="1:12" x14ac:dyDescent="0.35">
      <c r="A216" t="s">
        <v>788</v>
      </c>
      <c r="B216" t="s">
        <v>789</v>
      </c>
      <c r="C216">
        <v>0.18079999999999999</v>
      </c>
      <c r="D216">
        <v>0</v>
      </c>
      <c r="E216">
        <v>1.0200000000000001E-2</v>
      </c>
      <c r="F216">
        <v>0.22040000000000001</v>
      </c>
      <c r="G216">
        <v>3124990</v>
      </c>
      <c r="H216">
        <f t="shared" si="15"/>
        <v>0.18266316427561122</v>
      </c>
      <c r="I216">
        <f t="shared" si="16"/>
        <v>0.14814814814814814</v>
      </c>
      <c r="J216">
        <f t="shared" si="17"/>
        <v>7.686666666666668E-2</v>
      </c>
      <c r="K216" t="str">
        <f t="shared" si="18"/>
        <v>$0.05-$0.5</v>
      </c>
      <c r="L216" t="str">
        <f t="shared" si="19"/>
        <v>0-5</v>
      </c>
    </row>
    <row r="217" spans="1:12" x14ac:dyDescent="0.35">
      <c r="A217" t="s">
        <v>790</v>
      </c>
      <c r="B217" t="s">
        <v>791</v>
      </c>
      <c r="C217">
        <v>3.0999999999999999E-3</v>
      </c>
      <c r="D217">
        <v>8.9999999999999998E-4</v>
      </c>
      <c r="E217">
        <v>3.9199999999999999E-2</v>
      </c>
      <c r="F217">
        <v>5.45E-2</v>
      </c>
      <c r="G217">
        <v>3096016</v>
      </c>
      <c r="H217">
        <f t="shared" si="15"/>
        <v>3.2264779350541215E-3</v>
      </c>
      <c r="I217">
        <f t="shared" si="16"/>
        <v>2.9397818871503083E-3</v>
      </c>
      <c r="J217">
        <f t="shared" si="17"/>
        <v>3.153333333333333E-2</v>
      </c>
      <c r="K217" t="str">
        <f t="shared" si="18"/>
        <v>$0-$0.05</v>
      </c>
      <c r="L217" t="str">
        <f t="shared" si="19"/>
        <v>0-5</v>
      </c>
    </row>
    <row r="218" spans="1:12" x14ac:dyDescent="0.35">
      <c r="A218" t="s">
        <v>437</v>
      </c>
      <c r="B218" t="s">
        <v>438</v>
      </c>
      <c r="C218">
        <v>6.7000000000000002E-3</v>
      </c>
      <c r="D218">
        <v>3.0000000000000001E-3</v>
      </c>
      <c r="E218">
        <v>9.1000000000000004E-3</v>
      </c>
      <c r="F218">
        <v>2.3599999999999999E-2</v>
      </c>
      <c r="G218">
        <v>3095694</v>
      </c>
      <c r="H218">
        <f t="shared" si="15"/>
        <v>6.761529922292865E-3</v>
      </c>
      <c r="I218">
        <f t="shared" si="16"/>
        <v>6.5455255959359126E-3</v>
      </c>
      <c r="J218">
        <f t="shared" si="17"/>
        <v>1.1899999999999999E-2</v>
      </c>
      <c r="K218" t="str">
        <f t="shared" si="18"/>
        <v>$0-$0.05</v>
      </c>
      <c r="L218" t="str">
        <f t="shared" si="19"/>
        <v>0-5</v>
      </c>
    </row>
    <row r="219" spans="1:12" x14ac:dyDescent="0.35">
      <c r="A219" t="s">
        <v>792</v>
      </c>
      <c r="B219" t="s">
        <v>793</v>
      </c>
      <c r="C219">
        <v>3.2000000000000001E-2</v>
      </c>
      <c r="D219">
        <v>4.7000000000000002E-3</v>
      </c>
      <c r="E219">
        <v>9.1999999999999998E-3</v>
      </c>
      <c r="F219">
        <v>6.8599999999999994E-2</v>
      </c>
      <c r="G219">
        <v>3086074</v>
      </c>
      <c r="H219">
        <f t="shared" si="15"/>
        <v>3.2297133629390393E-2</v>
      </c>
      <c r="I219">
        <f t="shared" si="16"/>
        <v>2.9945723376380313E-2</v>
      </c>
      <c r="J219">
        <f t="shared" si="17"/>
        <v>2.7499999999999997E-2</v>
      </c>
      <c r="K219" t="str">
        <f t="shared" si="18"/>
        <v>$0-$0.05</v>
      </c>
      <c r="L219" t="str">
        <f t="shared" si="19"/>
        <v>0-5</v>
      </c>
    </row>
    <row r="220" spans="1:12" x14ac:dyDescent="0.35">
      <c r="A220" t="s">
        <v>794</v>
      </c>
      <c r="B220" t="s">
        <v>795</v>
      </c>
      <c r="C220">
        <v>2.29E-2</v>
      </c>
      <c r="D220">
        <v>7.9000000000000008E-3</v>
      </c>
      <c r="E220">
        <v>1.35E-2</v>
      </c>
      <c r="F220">
        <v>0.55920000000000003</v>
      </c>
      <c r="G220">
        <v>3075277</v>
      </c>
      <c r="H220">
        <f t="shared" si="15"/>
        <v>2.3213380638621387E-2</v>
      </c>
      <c r="I220">
        <f t="shared" si="16"/>
        <v>1.4687018984094406E-2</v>
      </c>
      <c r="J220">
        <f t="shared" si="17"/>
        <v>0.19353333333333333</v>
      </c>
      <c r="K220" t="str">
        <f t="shared" si="18"/>
        <v>$0-$0.05</v>
      </c>
      <c r="L220" t="str">
        <f t="shared" si="19"/>
        <v>0-5</v>
      </c>
    </row>
    <row r="221" spans="1:12" x14ac:dyDescent="0.35">
      <c r="A221" t="s">
        <v>439</v>
      </c>
      <c r="B221" t="s">
        <v>440</v>
      </c>
      <c r="C221">
        <v>1.6299999999999999E-2</v>
      </c>
      <c r="D221">
        <v>4.8999999999999998E-3</v>
      </c>
      <c r="E221">
        <v>2.9999999999999997E-4</v>
      </c>
      <c r="F221">
        <v>0.19489999999999999</v>
      </c>
      <c r="G221">
        <v>3069872</v>
      </c>
      <c r="H221">
        <f t="shared" si="15"/>
        <v>1.6304891467440231E-2</v>
      </c>
      <c r="I221">
        <f t="shared" si="16"/>
        <v>1.3641308896141935E-2</v>
      </c>
      <c r="J221">
        <f t="shared" si="17"/>
        <v>6.6699999999999995E-2</v>
      </c>
      <c r="K221" t="str">
        <f t="shared" si="18"/>
        <v>$0-$0.05</v>
      </c>
      <c r="L221" t="str">
        <f t="shared" si="19"/>
        <v>0-5</v>
      </c>
    </row>
    <row r="222" spans="1:12" x14ac:dyDescent="0.35">
      <c r="A222" t="s">
        <v>796</v>
      </c>
      <c r="B222" t="s">
        <v>796</v>
      </c>
      <c r="C222">
        <v>3.7000000000000002E-3</v>
      </c>
      <c r="D222">
        <v>1.1299999999999999E-2</v>
      </c>
      <c r="E222">
        <v>1.1599999999999999E-2</v>
      </c>
      <c r="F222">
        <v>0.20380000000000001</v>
      </c>
      <c r="G222">
        <v>3060731</v>
      </c>
      <c r="H222">
        <f t="shared" si="15"/>
        <v>3.7434237150951034E-3</v>
      </c>
      <c r="I222">
        <f t="shared" si="16"/>
        <v>3.0736002658248878E-3</v>
      </c>
      <c r="J222">
        <f t="shared" si="17"/>
        <v>7.5566666666666671E-2</v>
      </c>
      <c r="K222" t="str">
        <f t="shared" si="18"/>
        <v>$0-$0.05</v>
      </c>
      <c r="L222" t="str">
        <f t="shared" si="19"/>
        <v>0-5</v>
      </c>
    </row>
    <row r="223" spans="1:12" x14ac:dyDescent="0.35">
      <c r="A223" t="s">
        <v>443</v>
      </c>
      <c r="B223" t="s">
        <v>444</v>
      </c>
      <c r="C223">
        <v>5.0000000000000001E-4</v>
      </c>
      <c r="D223">
        <v>7.1999999999999998E-3</v>
      </c>
      <c r="E223">
        <v>2.0299999999999999E-2</v>
      </c>
      <c r="F223">
        <v>0.14699999999999999</v>
      </c>
      <c r="G223">
        <v>3058670</v>
      </c>
      <c r="H223">
        <f t="shared" si="15"/>
        <v>5.103603143819537E-4</v>
      </c>
      <c r="I223">
        <f t="shared" si="16"/>
        <v>4.3591979075850045E-4</v>
      </c>
      <c r="J223">
        <f t="shared" si="17"/>
        <v>5.8166666666666665E-2</v>
      </c>
      <c r="K223" t="str">
        <f t="shared" si="18"/>
        <v>$0-$0.05</v>
      </c>
      <c r="L223" t="str">
        <f t="shared" si="19"/>
        <v>0-5</v>
      </c>
    </row>
    <row r="224" spans="1:12" x14ac:dyDescent="0.35">
      <c r="A224" t="s">
        <v>797</v>
      </c>
      <c r="B224" t="s">
        <v>798</v>
      </c>
      <c r="C224">
        <v>2E-3</v>
      </c>
      <c r="D224">
        <v>1.7399999999999999E-2</v>
      </c>
      <c r="E224">
        <v>8.3000000000000004E-2</v>
      </c>
      <c r="F224">
        <v>4.6399999999999997E-2</v>
      </c>
      <c r="G224">
        <v>3034964</v>
      </c>
      <c r="H224">
        <f t="shared" si="15"/>
        <v>2.1810250817884407E-3</v>
      </c>
      <c r="I224">
        <f t="shared" si="16"/>
        <v>1.9113149847094801E-3</v>
      </c>
      <c r="J224">
        <f t="shared" si="17"/>
        <v>4.8933333333333329E-2</v>
      </c>
      <c r="K224" t="str">
        <f t="shared" si="18"/>
        <v>$0-$0.05</v>
      </c>
      <c r="L224" t="str">
        <f t="shared" si="19"/>
        <v>0-5</v>
      </c>
    </row>
    <row r="225" spans="1:12" x14ac:dyDescent="0.35">
      <c r="A225" t="s">
        <v>447</v>
      </c>
      <c r="B225" t="s">
        <v>448</v>
      </c>
      <c r="C225">
        <v>74.64</v>
      </c>
      <c r="D225">
        <v>3.2000000000000002E-3</v>
      </c>
      <c r="E225">
        <v>2E-3</v>
      </c>
      <c r="F225">
        <v>5.7999999999999996E-3</v>
      </c>
      <c r="G225">
        <v>3024286</v>
      </c>
      <c r="H225">
        <f t="shared" si="15"/>
        <v>74.789579158316627</v>
      </c>
      <c r="I225">
        <f t="shared" si="16"/>
        <v>74.209584410419566</v>
      </c>
      <c r="J225">
        <f t="shared" si="17"/>
        <v>3.6666666666666666E-3</v>
      </c>
      <c r="K225" t="str">
        <f t="shared" si="18"/>
        <v>&gt;$50</v>
      </c>
      <c r="L225" t="str">
        <f t="shared" si="19"/>
        <v>Above 5</v>
      </c>
    </row>
    <row r="226" spans="1:12" x14ac:dyDescent="0.35">
      <c r="A226" t="s">
        <v>455</v>
      </c>
      <c r="B226" t="s">
        <v>456</v>
      </c>
      <c r="C226">
        <v>3.8999999999999998E-3</v>
      </c>
      <c r="D226">
        <v>1.2999999999999999E-3</v>
      </c>
      <c r="E226">
        <v>1.2500000000000001E-2</v>
      </c>
      <c r="F226">
        <v>5.1799999999999999E-2</v>
      </c>
      <c r="G226">
        <v>3023152</v>
      </c>
      <c r="H226">
        <f t="shared" si="15"/>
        <v>3.9493670886075949E-3</v>
      </c>
      <c r="I226">
        <f t="shared" si="16"/>
        <v>3.7079292641186532E-3</v>
      </c>
      <c r="J226">
        <f t="shared" si="17"/>
        <v>2.1866666666666663E-2</v>
      </c>
      <c r="K226" t="str">
        <f t="shared" si="18"/>
        <v>$0-$0.05</v>
      </c>
      <c r="L226" t="str">
        <f t="shared" si="19"/>
        <v>0-5</v>
      </c>
    </row>
    <row r="227" spans="1:12" x14ac:dyDescent="0.35">
      <c r="A227" t="s">
        <v>799</v>
      </c>
      <c r="B227" t="s">
        <v>800</v>
      </c>
      <c r="C227">
        <v>2.8E-3</v>
      </c>
      <c r="D227">
        <v>1E-4</v>
      </c>
      <c r="E227">
        <v>1.2800000000000001E-2</v>
      </c>
      <c r="F227">
        <v>2.3400000000000001E-2</v>
      </c>
      <c r="G227">
        <v>2407683</v>
      </c>
      <c r="H227">
        <f t="shared" si="15"/>
        <v>2.8363047001620746E-3</v>
      </c>
      <c r="I227">
        <f t="shared" si="16"/>
        <v>2.7359781121751021E-3</v>
      </c>
      <c r="J227">
        <f t="shared" si="17"/>
        <v>1.21E-2</v>
      </c>
      <c r="K227" t="str">
        <f t="shared" si="18"/>
        <v>$0-$0.05</v>
      </c>
      <c r="L227" t="str">
        <f t="shared" si="19"/>
        <v>0-5</v>
      </c>
    </row>
    <row r="228" spans="1:12" x14ac:dyDescent="0.35">
      <c r="A228" t="s">
        <v>801</v>
      </c>
      <c r="B228" t="s">
        <v>802</v>
      </c>
      <c r="C228">
        <v>43.63</v>
      </c>
      <c r="D228">
        <v>2E-3</v>
      </c>
      <c r="E228">
        <v>1.4500000000000001E-2</v>
      </c>
      <c r="F228">
        <v>6.9199999999999998E-2</v>
      </c>
      <c r="G228">
        <v>2400785</v>
      </c>
      <c r="H228">
        <f t="shared" si="15"/>
        <v>44.271943176052766</v>
      </c>
      <c r="I228">
        <f t="shared" si="16"/>
        <v>40.806210250654701</v>
      </c>
      <c r="J228">
        <f t="shared" si="17"/>
        <v>2.8566666666666667E-2</v>
      </c>
      <c r="K228" t="str">
        <f t="shared" si="18"/>
        <v>$5-$50</v>
      </c>
      <c r="L228" t="str">
        <f t="shared" si="19"/>
        <v>Above 5</v>
      </c>
    </row>
    <row r="229" spans="1:12" x14ac:dyDescent="0.35">
      <c r="A229" t="s">
        <v>803</v>
      </c>
      <c r="B229" t="s">
        <v>804</v>
      </c>
      <c r="C229">
        <v>1.5800000000000002E-2</v>
      </c>
      <c r="D229">
        <v>1.8E-3</v>
      </c>
      <c r="E229">
        <v>1.7600000000000001E-2</v>
      </c>
      <c r="F229">
        <v>3.6200000000000003E-2</v>
      </c>
      <c r="G229">
        <v>2390793</v>
      </c>
      <c r="H229">
        <f t="shared" si="15"/>
        <v>1.6083061889250815E-2</v>
      </c>
      <c r="I229">
        <f t="shared" si="16"/>
        <v>1.5248021617448371E-2</v>
      </c>
      <c r="J229">
        <f t="shared" si="17"/>
        <v>1.8533333333333336E-2</v>
      </c>
      <c r="K229" t="str">
        <f t="shared" si="18"/>
        <v>$0-$0.05</v>
      </c>
      <c r="L229" t="str">
        <f t="shared" si="19"/>
        <v>0-5</v>
      </c>
    </row>
    <row r="230" spans="1:12" x14ac:dyDescent="0.35">
      <c r="A230" t="s">
        <v>805</v>
      </c>
      <c r="B230" t="s">
        <v>806</v>
      </c>
      <c r="C230">
        <v>119.09</v>
      </c>
      <c r="D230">
        <v>1.1999999999999999E-3</v>
      </c>
      <c r="E230">
        <v>3.8E-3</v>
      </c>
      <c r="F230">
        <v>2.4799999999999999E-2</v>
      </c>
      <c r="G230">
        <v>2383398</v>
      </c>
      <c r="H230">
        <f t="shared" si="15"/>
        <v>119.54426821923309</v>
      </c>
      <c r="I230">
        <f t="shared" si="16"/>
        <v>116.20804059328651</v>
      </c>
      <c r="J230">
        <f t="shared" si="17"/>
        <v>9.9333333333333339E-3</v>
      </c>
      <c r="K230" t="str">
        <f t="shared" si="18"/>
        <v>&gt;$50</v>
      </c>
      <c r="L230" t="str">
        <f t="shared" si="19"/>
        <v>Above 5</v>
      </c>
    </row>
    <row r="231" spans="1:12" x14ac:dyDescent="0.35">
      <c r="A231" t="s">
        <v>807</v>
      </c>
      <c r="B231" t="s">
        <v>808</v>
      </c>
      <c r="C231">
        <v>2.3999999999999998E-3</v>
      </c>
      <c r="D231">
        <v>1.03E-2</v>
      </c>
      <c r="E231">
        <v>1.26E-2</v>
      </c>
      <c r="F231">
        <v>0.15090000000000001</v>
      </c>
      <c r="G231">
        <v>2371374</v>
      </c>
      <c r="H231">
        <f t="shared" si="15"/>
        <v>2.4306258861656873E-3</v>
      </c>
      <c r="I231">
        <f t="shared" si="16"/>
        <v>2.0853245286297679E-3</v>
      </c>
      <c r="J231">
        <f t="shared" si="17"/>
        <v>5.7933333333333337E-2</v>
      </c>
      <c r="K231" t="str">
        <f t="shared" si="18"/>
        <v>$0-$0.05</v>
      </c>
      <c r="L231" t="str">
        <f t="shared" si="19"/>
        <v>0-5</v>
      </c>
    </row>
    <row r="232" spans="1:12" x14ac:dyDescent="0.35">
      <c r="A232" t="s">
        <v>809</v>
      </c>
      <c r="B232" t="s">
        <v>810</v>
      </c>
      <c r="C232">
        <v>0.46410000000000001</v>
      </c>
      <c r="D232">
        <v>2.1100000000000001E-2</v>
      </c>
      <c r="E232">
        <v>2.3999999999999998E-3</v>
      </c>
      <c r="F232">
        <v>8.2100000000000006E-2</v>
      </c>
      <c r="G232">
        <v>2367611</v>
      </c>
      <c r="H232">
        <f t="shared" si="15"/>
        <v>0.46521651964715316</v>
      </c>
      <c r="I232">
        <f t="shared" si="16"/>
        <v>0.42888827280288327</v>
      </c>
      <c r="J232">
        <f t="shared" si="17"/>
        <v>3.5200000000000002E-2</v>
      </c>
      <c r="K232" t="str">
        <f t="shared" si="18"/>
        <v>$0.05-$0.5</v>
      </c>
      <c r="L232" t="str">
        <f t="shared" si="19"/>
        <v>0-5</v>
      </c>
    </row>
    <row r="233" spans="1:12" x14ac:dyDescent="0.35">
      <c r="A233" t="s">
        <v>811</v>
      </c>
      <c r="B233" t="s">
        <v>812</v>
      </c>
      <c r="C233">
        <v>8.4500000000000006E-2</v>
      </c>
      <c r="D233">
        <v>1.46E-2</v>
      </c>
      <c r="E233">
        <v>3.2899999999999999E-2</v>
      </c>
      <c r="F233">
        <v>9.8799999999999999E-2</v>
      </c>
      <c r="G233">
        <v>2370547</v>
      </c>
      <c r="H233">
        <f t="shared" si="15"/>
        <v>8.7374625168028131E-2</v>
      </c>
      <c r="I233">
        <f t="shared" si="16"/>
        <v>7.6902074990899169E-2</v>
      </c>
      <c r="J233">
        <f t="shared" si="17"/>
        <v>4.876666666666666E-2</v>
      </c>
      <c r="K233" t="str">
        <f t="shared" si="18"/>
        <v>$0.05-$0.5</v>
      </c>
      <c r="L233" t="str">
        <f t="shared" si="19"/>
        <v>0-5</v>
      </c>
    </row>
    <row r="234" spans="1:12" x14ac:dyDescent="0.35">
      <c r="A234" t="s">
        <v>813</v>
      </c>
      <c r="B234" t="s">
        <v>814</v>
      </c>
      <c r="C234">
        <v>2.3999999999999998E-3</v>
      </c>
      <c r="D234">
        <v>4.0399999999999998E-2</v>
      </c>
      <c r="E234">
        <v>9.8199999999999996E-2</v>
      </c>
      <c r="F234">
        <v>0.15179999999999999</v>
      </c>
      <c r="G234">
        <v>2374089</v>
      </c>
      <c r="H234">
        <f t="shared" si="15"/>
        <v>2.6613439787092478E-3</v>
      </c>
      <c r="I234">
        <f t="shared" si="16"/>
        <v>2.0836950859524223E-3</v>
      </c>
      <c r="J234">
        <f t="shared" si="17"/>
        <v>9.6799999999999997E-2</v>
      </c>
      <c r="K234" t="str">
        <f t="shared" si="18"/>
        <v>$0-$0.05</v>
      </c>
      <c r="L234" t="str">
        <f t="shared" si="19"/>
        <v>0-5</v>
      </c>
    </row>
    <row r="235" spans="1:12" x14ac:dyDescent="0.35">
      <c r="A235" t="s">
        <v>461</v>
      </c>
      <c r="B235" t="s">
        <v>462</v>
      </c>
      <c r="C235">
        <v>6.4000000000000003E-3</v>
      </c>
      <c r="D235">
        <v>2.0000000000000001E-4</v>
      </c>
      <c r="E235">
        <v>1.6999999999999999E-3</v>
      </c>
      <c r="F235">
        <v>0.20080000000000001</v>
      </c>
      <c r="G235">
        <v>2353469</v>
      </c>
      <c r="H235">
        <f t="shared" si="15"/>
        <v>6.410898527496745E-3</v>
      </c>
      <c r="I235">
        <f t="shared" si="16"/>
        <v>5.3297801465689541E-3</v>
      </c>
      <c r="J235">
        <f t="shared" si="17"/>
        <v>6.7566666666666678E-2</v>
      </c>
      <c r="K235" t="str">
        <f t="shared" si="18"/>
        <v>$0-$0.05</v>
      </c>
      <c r="L235" t="str">
        <f t="shared" si="19"/>
        <v>0-5</v>
      </c>
    </row>
    <row r="236" spans="1:12" x14ac:dyDescent="0.35">
      <c r="A236" t="s">
        <v>469</v>
      </c>
      <c r="B236" t="s">
        <v>470</v>
      </c>
      <c r="C236">
        <v>0.47160000000000002</v>
      </c>
      <c r="D236">
        <v>1E-4</v>
      </c>
      <c r="E236">
        <v>6.1699999999999998E-2</v>
      </c>
      <c r="F236">
        <v>0.17929999999999999</v>
      </c>
      <c r="G236">
        <v>2358329</v>
      </c>
      <c r="H236">
        <f t="shared" si="15"/>
        <v>0.50261110519023766</v>
      </c>
      <c r="I236">
        <f t="shared" si="16"/>
        <v>0.39989824472144492</v>
      </c>
      <c r="J236">
        <f t="shared" si="17"/>
        <v>8.0366666666666656E-2</v>
      </c>
      <c r="K236" t="str">
        <f t="shared" si="18"/>
        <v>$0.05-$0.5</v>
      </c>
      <c r="L236" t="str">
        <f t="shared" si="19"/>
        <v>0-5</v>
      </c>
    </row>
    <row r="237" spans="1:12" x14ac:dyDescent="0.35">
      <c r="A237" t="s">
        <v>815</v>
      </c>
      <c r="B237" t="s">
        <v>816</v>
      </c>
      <c r="C237">
        <v>9.1999999999999998E-3</v>
      </c>
      <c r="D237">
        <v>6.1999999999999998E-3</v>
      </c>
      <c r="E237">
        <v>5.2499999999999998E-2</v>
      </c>
      <c r="F237">
        <v>9.06E-2</v>
      </c>
      <c r="G237">
        <v>2353553</v>
      </c>
      <c r="H237">
        <f t="shared" si="15"/>
        <v>9.7097625329815307E-3</v>
      </c>
      <c r="I237">
        <f t="shared" si="16"/>
        <v>8.4357234549789096E-3</v>
      </c>
      <c r="J237">
        <f t="shared" si="17"/>
        <v>4.976666666666666E-2</v>
      </c>
      <c r="K237" t="str">
        <f t="shared" si="18"/>
        <v>$0-$0.05</v>
      </c>
      <c r="L237" t="str">
        <f t="shared" si="19"/>
        <v>0-5</v>
      </c>
    </row>
    <row r="238" spans="1:12" x14ac:dyDescent="0.35">
      <c r="A238" t="s">
        <v>817</v>
      </c>
      <c r="B238" t="s">
        <v>818</v>
      </c>
      <c r="C238">
        <v>5.0000000000000001E-4</v>
      </c>
      <c r="D238">
        <v>1.12E-2</v>
      </c>
      <c r="E238">
        <v>5.1499999999999997E-2</v>
      </c>
      <c r="F238">
        <v>0.1086</v>
      </c>
      <c r="G238">
        <v>2353302</v>
      </c>
      <c r="H238">
        <f t="shared" si="15"/>
        <v>5.2714812862414342E-4</v>
      </c>
      <c r="I238">
        <f t="shared" si="16"/>
        <v>4.5101930362619519E-4</v>
      </c>
      <c r="J238">
        <f t="shared" si="17"/>
        <v>5.7100000000000005E-2</v>
      </c>
      <c r="K238" t="str">
        <f t="shared" si="18"/>
        <v>$0-$0.05</v>
      </c>
      <c r="L238" t="str">
        <f t="shared" si="19"/>
        <v>0-5</v>
      </c>
    </row>
    <row r="239" spans="1:12" x14ac:dyDescent="0.35">
      <c r="A239" t="s">
        <v>466</v>
      </c>
      <c r="B239" t="s">
        <v>467</v>
      </c>
      <c r="C239">
        <v>5.0000000000000001E-4</v>
      </c>
      <c r="D239">
        <v>3.5000000000000001E-3</v>
      </c>
      <c r="E239">
        <v>1.35E-2</v>
      </c>
      <c r="F239">
        <v>0.1231</v>
      </c>
      <c r="G239">
        <v>2345080</v>
      </c>
      <c r="H239">
        <f t="shared" si="15"/>
        <v>5.0684237202230106E-4</v>
      </c>
      <c r="I239">
        <f t="shared" si="16"/>
        <v>4.4519633158222779E-4</v>
      </c>
      <c r="J239">
        <f t="shared" si="17"/>
        <v>4.6699999999999998E-2</v>
      </c>
      <c r="K239" t="str">
        <f t="shared" si="18"/>
        <v>$0-$0.05</v>
      </c>
      <c r="L239" t="str">
        <f t="shared" si="19"/>
        <v>0-5</v>
      </c>
    </row>
    <row r="240" spans="1:12" x14ac:dyDescent="0.35">
      <c r="A240" t="s">
        <v>819</v>
      </c>
      <c r="B240" t="s">
        <v>820</v>
      </c>
      <c r="C240">
        <v>1E-4</v>
      </c>
      <c r="D240">
        <v>4.0000000000000002E-4</v>
      </c>
      <c r="E240">
        <v>4.2500000000000003E-2</v>
      </c>
      <c r="F240">
        <v>8.6099999999999996E-2</v>
      </c>
      <c r="G240">
        <v>2344189</v>
      </c>
      <c r="H240">
        <f t="shared" si="15"/>
        <v>1.0443864229765013E-4</v>
      </c>
      <c r="I240">
        <f t="shared" si="16"/>
        <v>9.207255317189945E-5</v>
      </c>
      <c r="J240">
        <f t="shared" si="17"/>
        <v>4.3000000000000003E-2</v>
      </c>
      <c r="K240" t="str">
        <f t="shared" si="18"/>
        <v>$0-$0.05</v>
      </c>
      <c r="L240" t="str">
        <f t="shared" si="19"/>
        <v>0-5</v>
      </c>
    </row>
    <row r="241" spans="1:12" x14ac:dyDescent="0.35">
      <c r="A241" t="s">
        <v>821</v>
      </c>
      <c r="B241" t="s">
        <v>822</v>
      </c>
      <c r="C241">
        <v>6.1000000000000004E-3</v>
      </c>
      <c r="D241">
        <v>1.06E-2</v>
      </c>
      <c r="E241">
        <v>2.0199999999999999E-2</v>
      </c>
      <c r="F241">
        <v>0.21190000000000001</v>
      </c>
      <c r="G241">
        <v>2336440</v>
      </c>
      <c r="H241">
        <f t="shared" si="15"/>
        <v>6.2257603592569917E-3</v>
      </c>
      <c r="I241">
        <f t="shared" si="16"/>
        <v>5.0334185988942983E-3</v>
      </c>
      <c r="J241">
        <f t="shared" si="17"/>
        <v>8.09E-2</v>
      </c>
      <c r="K241" t="str">
        <f t="shared" si="18"/>
        <v>$0-$0.05</v>
      </c>
      <c r="L241" t="str">
        <f t="shared" si="19"/>
        <v>0-5</v>
      </c>
    </row>
    <row r="242" spans="1:12" x14ac:dyDescent="0.35">
      <c r="A242" t="s">
        <v>823</v>
      </c>
      <c r="B242" t="s">
        <v>823</v>
      </c>
      <c r="C242">
        <v>1.9E-3</v>
      </c>
      <c r="D242">
        <v>0.3</v>
      </c>
      <c r="E242">
        <v>8.1900000000000001E-2</v>
      </c>
      <c r="F242">
        <v>0.1416</v>
      </c>
      <c r="G242">
        <v>1877322</v>
      </c>
      <c r="H242">
        <f t="shared" si="15"/>
        <v>2.0694913408125476E-3</v>
      </c>
      <c r="I242">
        <f t="shared" si="16"/>
        <v>1.6643307638402243E-3</v>
      </c>
      <c r="J242">
        <f t="shared" si="17"/>
        <v>0.17450000000000002</v>
      </c>
      <c r="K242" t="str">
        <f t="shared" si="18"/>
        <v>$0-$0.05</v>
      </c>
      <c r="L242" t="str">
        <f t="shared" si="19"/>
        <v>0-5</v>
      </c>
    </row>
    <row r="243" spans="1:12" x14ac:dyDescent="0.35">
      <c r="A243" t="s">
        <v>824</v>
      </c>
      <c r="B243" t="s">
        <v>825</v>
      </c>
      <c r="C243">
        <v>8.8999999999999999E-3</v>
      </c>
      <c r="D243">
        <v>1.7100000000000001E-2</v>
      </c>
      <c r="E243">
        <v>0.2412</v>
      </c>
      <c r="F243">
        <v>0.1356</v>
      </c>
      <c r="G243">
        <v>1874528</v>
      </c>
      <c r="H243">
        <f t="shared" si="15"/>
        <v>1.1729045861887191E-2</v>
      </c>
      <c r="I243">
        <f t="shared" si="16"/>
        <v>7.8372666431842201E-3</v>
      </c>
      <c r="J243">
        <f t="shared" si="17"/>
        <v>0.1313</v>
      </c>
      <c r="K243" t="str">
        <f t="shared" si="18"/>
        <v>$0-$0.05</v>
      </c>
      <c r="L243" t="str">
        <f t="shared" si="19"/>
        <v>0-5</v>
      </c>
    </row>
    <row r="244" spans="1:12" x14ac:dyDescent="0.35">
      <c r="A244" t="s">
        <v>826</v>
      </c>
      <c r="B244" t="s">
        <v>827</v>
      </c>
      <c r="C244">
        <v>9.2999999999999992E-3</v>
      </c>
      <c r="D244">
        <v>2E-3</v>
      </c>
      <c r="E244">
        <v>8.4699999999999998E-2</v>
      </c>
      <c r="F244">
        <v>5.0200000000000002E-2</v>
      </c>
      <c r="G244">
        <v>1865479</v>
      </c>
      <c r="H244">
        <f t="shared" si="15"/>
        <v>1.0160603080957063E-2</v>
      </c>
      <c r="I244">
        <f t="shared" si="16"/>
        <v>8.8554561035993143E-3</v>
      </c>
      <c r="J244">
        <f t="shared" si="17"/>
        <v>4.5633333333333331E-2</v>
      </c>
      <c r="K244" t="str">
        <f t="shared" si="18"/>
        <v>$0-$0.05</v>
      </c>
      <c r="L244" t="str">
        <f t="shared" si="19"/>
        <v>0-5</v>
      </c>
    </row>
    <row r="245" spans="1:12" x14ac:dyDescent="0.35">
      <c r="A245" t="s">
        <v>485</v>
      </c>
      <c r="B245" t="s">
        <v>485</v>
      </c>
      <c r="C245">
        <v>2.0000000000000001E-4</v>
      </c>
      <c r="D245">
        <v>6.1999999999999998E-3</v>
      </c>
      <c r="E245">
        <v>1.7299999999999999E-2</v>
      </c>
      <c r="F245">
        <v>0.18260000000000001</v>
      </c>
      <c r="G245">
        <v>1864194</v>
      </c>
      <c r="H245">
        <f t="shared" si="15"/>
        <v>2.0352091177368474E-4</v>
      </c>
      <c r="I245">
        <f t="shared" si="16"/>
        <v>1.6911889058007779E-4</v>
      </c>
      <c r="J245">
        <f t="shared" si="17"/>
        <v>6.8699999999999997E-2</v>
      </c>
      <c r="K245" t="str">
        <f t="shared" si="18"/>
        <v>$0-$0.05</v>
      </c>
      <c r="L245" t="str">
        <f t="shared" si="19"/>
        <v>0-5</v>
      </c>
    </row>
    <row r="246" spans="1:12" x14ac:dyDescent="0.35">
      <c r="A246" t="s">
        <v>828</v>
      </c>
      <c r="B246" t="s">
        <v>829</v>
      </c>
      <c r="C246">
        <v>2.9999999999999997E-4</v>
      </c>
      <c r="D246">
        <v>1E-3</v>
      </c>
      <c r="E246">
        <v>8.0000000000000004E-4</v>
      </c>
      <c r="F246">
        <v>8.0000000000000004E-4</v>
      </c>
      <c r="G246">
        <v>1862553</v>
      </c>
      <c r="H246">
        <f t="shared" si="15"/>
        <v>3.0024019215372296E-4</v>
      </c>
      <c r="I246">
        <f t="shared" si="16"/>
        <v>2.9976019184652276E-4</v>
      </c>
      <c r="J246">
        <f t="shared" si="17"/>
        <v>8.6666666666666663E-4</v>
      </c>
      <c r="K246" t="str">
        <f t="shared" si="18"/>
        <v>$0-$0.05</v>
      </c>
      <c r="L246" t="str">
        <f t="shared" si="19"/>
        <v>0-5</v>
      </c>
    </row>
    <row r="247" spans="1:12" x14ac:dyDescent="0.35">
      <c r="A247" t="s">
        <v>830</v>
      </c>
      <c r="B247" t="s">
        <v>831</v>
      </c>
      <c r="C247">
        <v>2.0000000000000001E-4</v>
      </c>
      <c r="D247">
        <v>2.75E-2</v>
      </c>
      <c r="E247">
        <v>4.0500000000000001E-2</v>
      </c>
      <c r="F247">
        <v>0.06</v>
      </c>
      <c r="G247">
        <v>1861106</v>
      </c>
      <c r="H247">
        <f t="shared" si="15"/>
        <v>2.0844189682126107E-4</v>
      </c>
      <c r="I247">
        <f t="shared" si="16"/>
        <v>1.8867924528301886E-4</v>
      </c>
      <c r="J247">
        <f t="shared" si="17"/>
        <v>4.2666666666666665E-2</v>
      </c>
      <c r="K247" t="str">
        <f t="shared" si="18"/>
        <v>$0-$0.05</v>
      </c>
      <c r="L247" t="str">
        <f t="shared" si="19"/>
        <v>0-5</v>
      </c>
    </row>
    <row r="248" spans="1:12" x14ac:dyDescent="0.35">
      <c r="A248" t="s">
        <v>832</v>
      </c>
      <c r="B248" t="s">
        <v>833</v>
      </c>
      <c r="C248">
        <v>0.12959999999999999</v>
      </c>
      <c r="D248">
        <v>2.0999999999999999E-3</v>
      </c>
      <c r="E248">
        <v>0.14349999999999999</v>
      </c>
      <c r="F248">
        <v>0.3533</v>
      </c>
      <c r="G248">
        <v>1855961</v>
      </c>
      <c r="H248">
        <f t="shared" si="15"/>
        <v>0.15131348511383536</v>
      </c>
      <c r="I248">
        <f t="shared" si="16"/>
        <v>9.5765905564176454E-2</v>
      </c>
      <c r="J248">
        <f t="shared" si="17"/>
        <v>0.1663</v>
      </c>
      <c r="K248" t="str">
        <f t="shared" si="18"/>
        <v>$0.05-$0.5</v>
      </c>
      <c r="L248" t="str">
        <f t="shared" si="19"/>
        <v>0-5</v>
      </c>
    </row>
    <row r="249" spans="1:12" x14ac:dyDescent="0.35">
      <c r="A249" t="s">
        <v>834</v>
      </c>
      <c r="B249" t="s">
        <v>835</v>
      </c>
      <c r="C249">
        <v>4.3E-3</v>
      </c>
      <c r="D249">
        <v>5.4999999999999997E-3</v>
      </c>
      <c r="E249">
        <v>1.0999999999999999E-2</v>
      </c>
      <c r="F249">
        <v>0.2001</v>
      </c>
      <c r="G249">
        <v>1858287</v>
      </c>
      <c r="H249">
        <f t="shared" si="15"/>
        <v>4.3478260869565218E-3</v>
      </c>
      <c r="I249">
        <f t="shared" si="16"/>
        <v>3.583034747104408E-3</v>
      </c>
      <c r="J249">
        <f t="shared" si="17"/>
        <v>7.22E-2</v>
      </c>
      <c r="K249" t="str">
        <f t="shared" si="18"/>
        <v>$0-$0.05</v>
      </c>
      <c r="L249" t="str">
        <f t="shared" si="19"/>
        <v>0-5</v>
      </c>
    </row>
    <row r="250" spans="1:12" x14ac:dyDescent="0.35">
      <c r="A250" t="s">
        <v>836</v>
      </c>
      <c r="B250" t="s">
        <v>837</v>
      </c>
      <c r="C250">
        <v>177.59</v>
      </c>
      <c r="D250">
        <v>1.5699999999999999E-2</v>
      </c>
      <c r="E250">
        <v>0</v>
      </c>
      <c r="F250">
        <v>3.0200000000000001E-2</v>
      </c>
      <c r="G250">
        <v>1843100</v>
      </c>
      <c r="H250">
        <f t="shared" si="15"/>
        <v>177.59</v>
      </c>
      <c r="I250">
        <f t="shared" si="16"/>
        <v>172.38400310619298</v>
      </c>
      <c r="J250">
        <f t="shared" si="17"/>
        <v>1.5299999999999999E-2</v>
      </c>
      <c r="K250" t="str">
        <f t="shared" si="18"/>
        <v>&gt;$50</v>
      </c>
      <c r="L250" t="str">
        <f t="shared" si="19"/>
        <v>Above 5</v>
      </c>
    </row>
    <row r="251" spans="1:12" x14ac:dyDescent="0.35">
      <c r="A251" t="s">
        <v>838</v>
      </c>
      <c r="B251" t="s">
        <v>839</v>
      </c>
      <c r="C251">
        <v>1.8E-3</v>
      </c>
      <c r="D251">
        <v>5.5999999999999999E-3</v>
      </c>
      <c r="E251">
        <v>6.0699999999999997E-2</v>
      </c>
      <c r="F251">
        <v>5.4699999999999999E-2</v>
      </c>
      <c r="G251">
        <v>1842471</v>
      </c>
      <c r="H251">
        <f t="shared" si="15"/>
        <v>1.9163206643244969E-3</v>
      </c>
      <c r="I251">
        <f t="shared" si="16"/>
        <v>1.7066464397458992E-3</v>
      </c>
      <c r="J251">
        <f t="shared" si="17"/>
        <v>4.0333333333333332E-2</v>
      </c>
      <c r="K251" t="str">
        <f t="shared" si="18"/>
        <v>$0-$0.05</v>
      </c>
      <c r="L251" t="str">
        <f t="shared" si="19"/>
        <v>0-5</v>
      </c>
    </row>
    <row r="252" spans="1:12" x14ac:dyDescent="0.35">
      <c r="A252" t="s">
        <v>840</v>
      </c>
      <c r="B252" t="s">
        <v>841</v>
      </c>
      <c r="C252">
        <v>4.24</v>
      </c>
      <c r="D252">
        <v>0</v>
      </c>
      <c r="E252">
        <v>4.1399999999999999E-2</v>
      </c>
      <c r="F252">
        <v>0.1588</v>
      </c>
      <c r="G252">
        <v>1834665</v>
      </c>
      <c r="H252">
        <f t="shared" si="15"/>
        <v>4.423117045691634</v>
      </c>
      <c r="I252">
        <f t="shared" si="16"/>
        <v>3.6589575422851226</v>
      </c>
      <c r="J252">
        <f t="shared" si="17"/>
        <v>6.6733333333333325E-2</v>
      </c>
      <c r="K252" t="str">
        <f t="shared" si="18"/>
        <v>$0.5-$5</v>
      </c>
      <c r="L252" t="str">
        <f t="shared" si="19"/>
        <v>0-5</v>
      </c>
    </row>
    <row r="253" spans="1:12" x14ac:dyDescent="0.35">
      <c r="A253" t="s">
        <v>842</v>
      </c>
      <c r="B253" t="s">
        <v>843</v>
      </c>
      <c r="C253">
        <v>56.31</v>
      </c>
      <c r="D253">
        <v>1.41E-2</v>
      </c>
      <c r="E253">
        <v>3.8699999999999998E-2</v>
      </c>
      <c r="F253">
        <v>0.10390000000000001</v>
      </c>
      <c r="G253">
        <v>1828836</v>
      </c>
      <c r="H253">
        <f t="shared" si="15"/>
        <v>58.576927077915322</v>
      </c>
      <c r="I253">
        <f t="shared" si="16"/>
        <v>51.010055258628498</v>
      </c>
      <c r="J253">
        <f t="shared" si="17"/>
        <v>5.2233333333333333E-2</v>
      </c>
      <c r="K253" t="str">
        <f t="shared" si="18"/>
        <v>&gt;$50</v>
      </c>
      <c r="L253" t="str">
        <f t="shared" si="19"/>
        <v>Above 5</v>
      </c>
    </row>
    <row r="254" spans="1:12" x14ac:dyDescent="0.35">
      <c r="A254" t="s">
        <v>844</v>
      </c>
      <c r="B254" t="s">
        <v>845</v>
      </c>
      <c r="C254">
        <v>4.0000000000000001E-3</v>
      </c>
      <c r="D254">
        <v>2.9999999999999997E-4</v>
      </c>
      <c r="E254">
        <v>5.1799999999999999E-2</v>
      </c>
      <c r="F254">
        <v>0.31240000000000001</v>
      </c>
      <c r="G254">
        <v>1823746</v>
      </c>
      <c r="H254">
        <f t="shared" si="15"/>
        <v>4.2185192997257958E-3</v>
      </c>
      <c r="I254">
        <f t="shared" si="16"/>
        <v>3.0478512648582749E-3</v>
      </c>
      <c r="J254">
        <f t="shared" si="17"/>
        <v>0.1215</v>
      </c>
      <c r="K254" t="str">
        <f t="shared" si="18"/>
        <v>$0-$0.05</v>
      </c>
      <c r="L254" t="str">
        <f t="shared" si="19"/>
        <v>0-5</v>
      </c>
    </row>
    <row r="255" spans="1:12" x14ac:dyDescent="0.35">
      <c r="A255" t="s">
        <v>846</v>
      </c>
      <c r="B255" t="s">
        <v>847</v>
      </c>
      <c r="C255">
        <v>7.4000000000000003E-3</v>
      </c>
      <c r="D255">
        <v>9.5999999999999992E-3</v>
      </c>
      <c r="E255">
        <v>8.4900000000000003E-2</v>
      </c>
      <c r="F255">
        <v>1.15E-2</v>
      </c>
      <c r="G255">
        <v>1822167</v>
      </c>
      <c r="H255">
        <f t="shared" si="15"/>
        <v>8.0865479182602989E-3</v>
      </c>
      <c r="I255">
        <f t="shared" si="16"/>
        <v>7.3158675234799801E-3</v>
      </c>
      <c r="J255">
        <f t="shared" si="17"/>
        <v>3.5333333333333335E-2</v>
      </c>
      <c r="K255" t="str">
        <f t="shared" si="18"/>
        <v>$0-$0.05</v>
      </c>
      <c r="L255" t="str">
        <f t="shared" si="19"/>
        <v>0-5</v>
      </c>
    </row>
    <row r="256" spans="1:12" x14ac:dyDescent="0.35">
      <c r="A256" t="s">
        <v>848</v>
      </c>
      <c r="B256" t="s">
        <v>849</v>
      </c>
      <c r="C256">
        <v>7.1199999999999999E-2</v>
      </c>
      <c r="D256">
        <v>0</v>
      </c>
      <c r="E256">
        <v>1.9099999999999999E-2</v>
      </c>
      <c r="F256">
        <v>0.1241</v>
      </c>
      <c r="G256">
        <v>1820454</v>
      </c>
      <c r="H256">
        <f t="shared" si="15"/>
        <v>7.2586400244673263E-2</v>
      </c>
      <c r="I256">
        <f t="shared" si="16"/>
        <v>6.3339560537318734E-2</v>
      </c>
      <c r="J256">
        <f t="shared" si="17"/>
        <v>4.7733333333333329E-2</v>
      </c>
      <c r="K256" t="str">
        <f t="shared" si="18"/>
        <v>$0.05-$0.5</v>
      </c>
      <c r="L256" t="str">
        <f t="shared" si="19"/>
        <v>0-5</v>
      </c>
    </row>
    <row r="257" spans="1:12" x14ac:dyDescent="0.35">
      <c r="A257" t="s">
        <v>850</v>
      </c>
      <c r="B257" t="s">
        <v>851</v>
      </c>
      <c r="C257">
        <v>1.1999999999999999E-3</v>
      </c>
      <c r="D257">
        <v>5.45E-2</v>
      </c>
      <c r="E257">
        <v>0.1179</v>
      </c>
      <c r="F257">
        <v>0.15179999999999999</v>
      </c>
      <c r="G257">
        <v>1523333</v>
      </c>
      <c r="H257">
        <f t="shared" si="15"/>
        <v>1.3603899784604919E-3</v>
      </c>
      <c r="I257">
        <f t="shared" si="16"/>
        <v>1.0418475429762111E-3</v>
      </c>
      <c r="J257">
        <f t="shared" si="17"/>
        <v>0.10806666666666666</v>
      </c>
      <c r="K257" t="str">
        <f t="shared" si="18"/>
        <v>$0-$0.05</v>
      </c>
      <c r="L257" t="str">
        <f t="shared" si="19"/>
        <v>0-5</v>
      </c>
    </row>
    <row r="258" spans="1:12" x14ac:dyDescent="0.35">
      <c r="A258" t="s">
        <v>852</v>
      </c>
      <c r="B258" t="s">
        <v>853</v>
      </c>
      <c r="C258">
        <v>389.62</v>
      </c>
      <c r="D258">
        <v>1.6400000000000001E-2</v>
      </c>
      <c r="E258">
        <v>3.5200000000000002E-2</v>
      </c>
      <c r="F258">
        <v>0.1285</v>
      </c>
      <c r="G258">
        <v>1539338</v>
      </c>
      <c r="H258">
        <f t="shared" ref="H258:H301" si="20">C258/(1-E258)</f>
        <v>403.83499170812604</v>
      </c>
      <c r="I258">
        <f t="shared" ref="I258:I301" si="21">C258/(1+F258)</f>
        <v>345.25476295968099</v>
      </c>
      <c r="J258">
        <f t="shared" ref="J258:J301" si="22">AVERAGE(D258,E258,F258)</f>
        <v>6.0033333333333334E-2</v>
      </c>
      <c r="K258" t="str">
        <f t="shared" ref="K258:K301" si="23">IF(C258&lt;=0.05,"$0-$0.05",
IF(C258&lt;=0.5,"$0.05-$0.5",
IF(C258&lt;=5,"$0.5-$5",
IF(C258&lt;=50,"$5-$50",
"&gt;$50"))))</f>
        <v>&gt;$50</v>
      </c>
      <c r="L258" t="str">
        <f t="shared" ref="L258:L301" si="24">IF(AND(C258&gt;=0,C258&lt;=5),"0-5","Above 5")</f>
        <v>Above 5</v>
      </c>
    </row>
    <row r="259" spans="1:12" x14ac:dyDescent="0.35">
      <c r="A259" t="s">
        <v>854</v>
      </c>
      <c r="B259" t="s">
        <v>855</v>
      </c>
      <c r="C259">
        <v>2.9999999999999997E-4</v>
      </c>
      <c r="D259">
        <v>0</v>
      </c>
      <c r="E259">
        <v>5.9499999999999997E-2</v>
      </c>
      <c r="F259">
        <v>0.1111</v>
      </c>
      <c r="G259">
        <v>1532435</v>
      </c>
      <c r="H259">
        <f t="shared" si="20"/>
        <v>3.1897926634768739E-4</v>
      </c>
      <c r="I259">
        <f t="shared" si="21"/>
        <v>2.7000270002700027E-4</v>
      </c>
      <c r="J259">
        <f t="shared" si="22"/>
        <v>5.686666666666667E-2</v>
      </c>
      <c r="K259" t="str">
        <f t="shared" si="23"/>
        <v>$0-$0.05</v>
      </c>
      <c r="L259" t="str">
        <f t="shared" si="24"/>
        <v>0-5</v>
      </c>
    </row>
    <row r="260" spans="1:12" x14ac:dyDescent="0.35">
      <c r="A260" t="s">
        <v>856</v>
      </c>
      <c r="B260" t="s">
        <v>857</v>
      </c>
      <c r="C260">
        <v>102.36</v>
      </c>
      <c r="D260">
        <v>2.1299999999999999E-2</v>
      </c>
      <c r="E260">
        <v>3.8399999999999997E-2</v>
      </c>
      <c r="F260">
        <v>0.1071</v>
      </c>
      <c r="G260">
        <v>1532027</v>
      </c>
      <c r="H260">
        <f t="shared" si="20"/>
        <v>106.44758735440932</v>
      </c>
      <c r="I260">
        <f t="shared" si="21"/>
        <v>92.457772558937762</v>
      </c>
      <c r="J260">
        <f t="shared" si="22"/>
        <v>5.5600000000000004E-2</v>
      </c>
      <c r="K260" t="str">
        <f t="shared" si="23"/>
        <v>&gt;$50</v>
      </c>
      <c r="L260" t="str">
        <f t="shared" si="24"/>
        <v>Above 5</v>
      </c>
    </row>
    <row r="261" spans="1:12" x14ac:dyDescent="0.35">
      <c r="A261" t="s">
        <v>502</v>
      </c>
      <c r="B261" t="s">
        <v>502</v>
      </c>
      <c r="C261">
        <v>1.6999999999999999E-3</v>
      </c>
      <c r="D261">
        <v>8.8000000000000005E-3</v>
      </c>
      <c r="E261">
        <v>6.1999999999999998E-3</v>
      </c>
      <c r="F261">
        <v>0.1893</v>
      </c>
      <c r="G261">
        <v>1531565</v>
      </c>
      <c r="H261">
        <f t="shared" si="20"/>
        <v>1.7106057556852483E-3</v>
      </c>
      <c r="I261">
        <f t="shared" si="21"/>
        <v>1.4294122593122003E-3</v>
      </c>
      <c r="J261">
        <f t="shared" si="22"/>
        <v>6.8099999999999994E-2</v>
      </c>
      <c r="K261" t="str">
        <f t="shared" si="23"/>
        <v>$0-$0.05</v>
      </c>
      <c r="L261" t="str">
        <f t="shared" si="24"/>
        <v>0-5</v>
      </c>
    </row>
    <row r="262" spans="1:12" x14ac:dyDescent="0.35">
      <c r="A262" t="s">
        <v>858</v>
      </c>
      <c r="B262" t="s">
        <v>859</v>
      </c>
      <c r="C262">
        <v>1.5E-3</v>
      </c>
      <c r="D262">
        <v>1.1999999999999999E-3</v>
      </c>
      <c r="E262">
        <v>5.0000000000000001E-3</v>
      </c>
      <c r="F262">
        <v>7.7000000000000002E-3</v>
      </c>
      <c r="G262">
        <v>1531354</v>
      </c>
      <c r="H262">
        <f t="shared" si="20"/>
        <v>1.507537688442211E-3</v>
      </c>
      <c r="I262">
        <f t="shared" si="21"/>
        <v>1.4885382554331646E-3</v>
      </c>
      <c r="J262">
        <f t="shared" si="22"/>
        <v>4.6333333333333331E-3</v>
      </c>
      <c r="K262" t="str">
        <f t="shared" si="23"/>
        <v>$0-$0.05</v>
      </c>
      <c r="L262" t="str">
        <f t="shared" si="24"/>
        <v>0-5</v>
      </c>
    </row>
    <row r="263" spans="1:12" x14ac:dyDescent="0.35">
      <c r="A263" t="s">
        <v>496</v>
      </c>
      <c r="B263" t="s">
        <v>497</v>
      </c>
      <c r="C263">
        <v>5.9999999999999995E-4</v>
      </c>
      <c r="D263">
        <v>4.1999999999999997E-3</v>
      </c>
      <c r="E263">
        <v>6.7000000000000002E-3</v>
      </c>
      <c r="F263">
        <v>5.2400000000000002E-2</v>
      </c>
      <c r="G263">
        <v>1528419</v>
      </c>
      <c r="H263">
        <f t="shared" si="20"/>
        <v>6.0404711567502265E-4</v>
      </c>
      <c r="I263">
        <f t="shared" si="21"/>
        <v>5.701254275940706E-4</v>
      </c>
      <c r="J263">
        <f t="shared" si="22"/>
        <v>2.1099999999999997E-2</v>
      </c>
      <c r="K263" t="str">
        <f t="shared" si="23"/>
        <v>$0-$0.05</v>
      </c>
      <c r="L263" t="str">
        <f t="shared" si="24"/>
        <v>0-5</v>
      </c>
    </row>
    <row r="264" spans="1:12" x14ac:dyDescent="0.35">
      <c r="A264" t="s">
        <v>860</v>
      </c>
      <c r="B264" t="s">
        <v>861</v>
      </c>
      <c r="C264">
        <v>1.9E-3</v>
      </c>
      <c r="D264">
        <v>1.9E-3</v>
      </c>
      <c r="E264">
        <v>1.23E-2</v>
      </c>
      <c r="F264">
        <v>1.0999999999999999E-2</v>
      </c>
      <c r="G264">
        <v>1527045</v>
      </c>
      <c r="H264">
        <f t="shared" si="20"/>
        <v>1.923661030677331E-3</v>
      </c>
      <c r="I264">
        <f t="shared" si="21"/>
        <v>1.8793273986152327E-3</v>
      </c>
      <c r="J264">
        <f t="shared" si="22"/>
        <v>8.3999999999999995E-3</v>
      </c>
      <c r="K264" t="str">
        <f t="shared" si="23"/>
        <v>$0-$0.05</v>
      </c>
      <c r="L264" t="str">
        <f t="shared" si="24"/>
        <v>0-5</v>
      </c>
    </row>
    <row r="265" spans="1:12" x14ac:dyDescent="0.35">
      <c r="A265" t="s">
        <v>862</v>
      </c>
      <c r="B265" t="s">
        <v>863</v>
      </c>
      <c r="C265">
        <v>2.2200000000000001E-2</v>
      </c>
      <c r="D265">
        <v>2.0000000000000001E-4</v>
      </c>
      <c r="E265">
        <v>3.3999999999999998E-3</v>
      </c>
      <c r="F265">
        <v>0.1434</v>
      </c>
      <c r="G265">
        <v>1523298</v>
      </c>
      <c r="H265">
        <f t="shared" si="20"/>
        <v>2.2275737507525588E-2</v>
      </c>
      <c r="I265">
        <f t="shared" si="21"/>
        <v>1.9415777505684802E-2</v>
      </c>
      <c r="J265">
        <f t="shared" si="22"/>
        <v>4.8999999999999995E-2</v>
      </c>
      <c r="K265" t="str">
        <f t="shared" si="23"/>
        <v>$0-$0.05</v>
      </c>
      <c r="L265" t="str">
        <f t="shared" si="24"/>
        <v>0-5</v>
      </c>
    </row>
    <row r="266" spans="1:12" x14ac:dyDescent="0.35">
      <c r="A266" t="s">
        <v>864</v>
      </c>
      <c r="B266" t="s">
        <v>865</v>
      </c>
      <c r="C266">
        <v>1.6000000000000001E-3</v>
      </c>
      <c r="D266">
        <v>9.1999999999999998E-3</v>
      </c>
      <c r="E266">
        <v>7.1099999999999997E-2</v>
      </c>
      <c r="F266">
        <v>0.1182</v>
      </c>
      <c r="G266">
        <v>1522317</v>
      </c>
      <c r="H266">
        <f t="shared" si="20"/>
        <v>1.7224674346000646E-3</v>
      </c>
      <c r="I266">
        <f t="shared" si="21"/>
        <v>1.4308710427472723E-3</v>
      </c>
      <c r="J266">
        <f t="shared" si="22"/>
        <v>6.6166666666666665E-2</v>
      </c>
      <c r="K266" t="str">
        <f t="shared" si="23"/>
        <v>$0-$0.05</v>
      </c>
      <c r="L266" t="str">
        <f t="shared" si="24"/>
        <v>0-5</v>
      </c>
    </row>
    <row r="267" spans="1:12" x14ac:dyDescent="0.35">
      <c r="A267" t="s">
        <v>866</v>
      </c>
      <c r="B267" t="s">
        <v>867</v>
      </c>
      <c r="C267">
        <v>0.41980000000000001</v>
      </c>
      <c r="D267">
        <v>1E-3</v>
      </c>
      <c r="E267">
        <v>1.9400000000000001E-2</v>
      </c>
      <c r="F267">
        <v>5.16E-2</v>
      </c>
      <c r="G267">
        <v>1521368</v>
      </c>
      <c r="H267">
        <f t="shared" si="20"/>
        <v>0.42810524168876196</v>
      </c>
      <c r="I267">
        <f t="shared" si="21"/>
        <v>0.39920121719284896</v>
      </c>
      <c r="J267">
        <f t="shared" si="22"/>
        <v>2.4000000000000004E-2</v>
      </c>
      <c r="K267" t="str">
        <f t="shared" si="23"/>
        <v>$0.05-$0.5</v>
      </c>
      <c r="L267" t="str">
        <f t="shared" si="24"/>
        <v>0-5</v>
      </c>
    </row>
    <row r="268" spans="1:12" x14ac:dyDescent="0.35">
      <c r="A268" t="s">
        <v>868</v>
      </c>
      <c r="B268" t="s">
        <v>868</v>
      </c>
      <c r="C268">
        <v>2.9999999999999997E-4</v>
      </c>
      <c r="D268">
        <v>9.7000000000000003E-3</v>
      </c>
      <c r="E268">
        <v>1.17E-2</v>
      </c>
      <c r="F268">
        <v>0.13120000000000001</v>
      </c>
      <c r="G268">
        <v>1502367</v>
      </c>
      <c r="H268">
        <f t="shared" si="20"/>
        <v>3.0355155317211374E-4</v>
      </c>
      <c r="I268">
        <f t="shared" si="21"/>
        <v>2.652050919377652E-4</v>
      </c>
      <c r="J268">
        <f t="shared" si="22"/>
        <v>5.0866666666666671E-2</v>
      </c>
      <c r="K268" t="str">
        <f t="shared" si="23"/>
        <v>$0-$0.05</v>
      </c>
      <c r="L268" t="str">
        <f t="shared" si="24"/>
        <v>0-5</v>
      </c>
    </row>
    <row r="269" spans="1:12" x14ac:dyDescent="0.35">
      <c r="A269" t="s">
        <v>508</v>
      </c>
      <c r="B269" t="s">
        <v>509</v>
      </c>
      <c r="C269">
        <v>1.2999999999999999E-3</v>
      </c>
      <c r="D269">
        <v>0</v>
      </c>
      <c r="E269">
        <v>3.2199999999999999E-2</v>
      </c>
      <c r="F269">
        <v>0.13039999999999999</v>
      </c>
      <c r="G269">
        <v>1498526</v>
      </c>
      <c r="H269">
        <f t="shared" si="20"/>
        <v>1.3432527381690431E-3</v>
      </c>
      <c r="I269">
        <f t="shared" si="21"/>
        <v>1.1500353857041754E-3</v>
      </c>
      <c r="J269">
        <f t="shared" si="22"/>
        <v>5.4199999999999998E-2</v>
      </c>
      <c r="K269" t="str">
        <f t="shared" si="23"/>
        <v>$0-$0.05</v>
      </c>
      <c r="L269" t="str">
        <f t="shared" si="24"/>
        <v>0-5</v>
      </c>
    </row>
    <row r="270" spans="1:12" x14ac:dyDescent="0.35">
      <c r="A270" t="s">
        <v>869</v>
      </c>
      <c r="B270" t="s">
        <v>870</v>
      </c>
      <c r="C270">
        <v>250.33</v>
      </c>
      <c r="D270">
        <v>1.8E-3</v>
      </c>
      <c r="E270">
        <v>2.2000000000000001E-3</v>
      </c>
      <c r="F270">
        <v>8.8200000000000001E-2</v>
      </c>
      <c r="G270">
        <v>1497073</v>
      </c>
      <c r="H270">
        <f t="shared" si="20"/>
        <v>250.88194026859091</v>
      </c>
      <c r="I270">
        <f t="shared" si="21"/>
        <v>230.04043374379711</v>
      </c>
      <c r="J270">
        <f t="shared" si="22"/>
        <v>3.0733333333333335E-2</v>
      </c>
      <c r="K270" t="str">
        <f t="shared" si="23"/>
        <v>&gt;$50</v>
      </c>
      <c r="L270" t="str">
        <f t="shared" si="24"/>
        <v>Above 5</v>
      </c>
    </row>
    <row r="271" spans="1:12" x14ac:dyDescent="0.35">
      <c r="A271" t="s">
        <v>871</v>
      </c>
      <c r="B271" t="s">
        <v>872</v>
      </c>
      <c r="C271">
        <v>1.12E-2</v>
      </c>
      <c r="D271">
        <v>8.1199999999999994E-2</v>
      </c>
      <c r="E271">
        <v>4.6800000000000001E-2</v>
      </c>
      <c r="F271">
        <v>5.5E-2</v>
      </c>
      <c r="G271">
        <v>1496537</v>
      </c>
      <c r="H271">
        <f t="shared" si="20"/>
        <v>1.1749895090222407E-2</v>
      </c>
      <c r="I271">
        <f t="shared" si="21"/>
        <v>1.061611374407583E-2</v>
      </c>
      <c r="J271">
        <f t="shared" si="22"/>
        <v>6.0999999999999999E-2</v>
      </c>
      <c r="K271" t="str">
        <f t="shared" si="23"/>
        <v>$0-$0.05</v>
      </c>
      <c r="L271" t="str">
        <f t="shared" si="24"/>
        <v>0-5</v>
      </c>
    </row>
    <row r="272" spans="1:12" x14ac:dyDescent="0.35">
      <c r="A272" t="s">
        <v>873</v>
      </c>
      <c r="B272" t="s">
        <v>874</v>
      </c>
      <c r="C272">
        <v>3.0300000000000001E-2</v>
      </c>
      <c r="D272">
        <v>8.3999999999999995E-3</v>
      </c>
      <c r="E272">
        <v>1.67E-2</v>
      </c>
      <c r="F272">
        <v>0.12820000000000001</v>
      </c>
      <c r="G272">
        <v>1248376</v>
      </c>
      <c r="H272">
        <f t="shared" si="20"/>
        <v>3.0814603884877455E-2</v>
      </c>
      <c r="I272">
        <f t="shared" si="21"/>
        <v>2.6856940258819358E-2</v>
      </c>
      <c r="J272">
        <f t="shared" si="22"/>
        <v>5.11E-2</v>
      </c>
      <c r="K272" t="str">
        <f t="shared" si="23"/>
        <v>$0-$0.05</v>
      </c>
      <c r="L272" t="str">
        <f t="shared" si="24"/>
        <v>0-5</v>
      </c>
    </row>
    <row r="273" spans="1:12" x14ac:dyDescent="0.35">
      <c r="A273" t="s">
        <v>875</v>
      </c>
      <c r="B273" t="s">
        <v>876</v>
      </c>
      <c r="C273">
        <v>975.82</v>
      </c>
      <c r="D273">
        <v>3.2000000000000002E-3</v>
      </c>
      <c r="E273">
        <v>2.9999999999999997E-4</v>
      </c>
      <c r="F273">
        <v>1.4800000000000001E-2</v>
      </c>
      <c r="G273">
        <v>1247488</v>
      </c>
      <c r="H273">
        <f t="shared" si="20"/>
        <v>976.11283385015508</v>
      </c>
      <c r="I273">
        <f t="shared" si="21"/>
        <v>961.58849034292484</v>
      </c>
      <c r="J273">
        <f t="shared" si="22"/>
        <v>6.1000000000000004E-3</v>
      </c>
      <c r="K273" t="str">
        <f t="shared" si="23"/>
        <v>&gt;$50</v>
      </c>
      <c r="L273" t="str">
        <f t="shared" si="24"/>
        <v>Above 5</v>
      </c>
    </row>
    <row r="274" spans="1:12" x14ac:dyDescent="0.35">
      <c r="A274" t="s">
        <v>877</v>
      </c>
      <c r="B274" t="s">
        <v>878</v>
      </c>
      <c r="C274">
        <v>83</v>
      </c>
      <c r="D274">
        <v>4.5999999999999999E-3</v>
      </c>
      <c r="E274">
        <v>3.2000000000000002E-3</v>
      </c>
      <c r="F274">
        <v>6.1800000000000001E-2</v>
      </c>
      <c r="G274">
        <v>1246040</v>
      </c>
      <c r="H274">
        <f t="shared" si="20"/>
        <v>83.266452648475124</v>
      </c>
      <c r="I274">
        <f t="shared" si="21"/>
        <v>78.169146731964588</v>
      </c>
      <c r="J274">
        <f t="shared" si="22"/>
        <v>2.3199999999999998E-2</v>
      </c>
      <c r="K274" t="str">
        <f t="shared" si="23"/>
        <v>&gt;$50</v>
      </c>
      <c r="L274" t="str">
        <f t="shared" si="24"/>
        <v>Above 5</v>
      </c>
    </row>
    <row r="275" spans="1:12" x14ac:dyDescent="0.35">
      <c r="A275" t="s">
        <v>879</v>
      </c>
      <c r="B275" t="s">
        <v>879</v>
      </c>
      <c r="C275">
        <v>1E-3</v>
      </c>
      <c r="D275">
        <v>9.1999999999999998E-3</v>
      </c>
      <c r="E275">
        <v>1.7399999999999999E-2</v>
      </c>
      <c r="F275">
        <v>5.5399999999999998E-2</v>
      </c>
      <c r="G275">
        <v>1240212</v>
      </c>
      <c r="H275">
        <f t="shared" si="20"/>
        <v>1.017708121310808E-3</v>
      </c>
      <c r="I275">
        <f t="shared" si="21"/>
        <v>9.4750805381845762E-4</v>
      </c>
      <c r="J275">
        <f t="shared" si="22"/>
        <v>2.7333333333333331E-2</v>
      </c>
      <c r="K275" t="str">
        <f t="shared" si="23"/>
        <v>$0-$0.05</v>
      </c>
      <c r="L275" t="str">
        <f t="shared" si="24"/>
        <v>0-5</v>
      </c>
    </row>
    <row r="276" spans="1:12" x14ac:dyDescent="0.35">
      <c r="A276" t="s">
        <v>880</v>
      </c>
      <c r="B276" t="s">
        <v>881</v>
      </c>
      <c r="C276">
        <v>4.1000000000000003E-3</v>
      </c>
      <c r="D276">
        <v>8.3400000000000002E-2</v>
      </c>
      <c r="E276">
        <v>0.2979</v>
      </c>
      <c r="F276">
        <v>0.18160000000000001</v>
      </c>
      <c r="G276">
        <v>1241994</v>
      </c>
      <c r="H276">
        <f t="shared" si="20"/>
        <v>5.8396239851872958E-3</v>
      </c>
      <c r="I276">
        <f t="shared" si="21"/>
        <v>3.469871360866622E-3</v>
      </c>
      <c r="J276">
        <f t="shared" si="22"/>
        <v>0.18763333333333332</v>
      </c>
      <c r="K276" t="str">
        <f t="shared" si="23"/>
        <v>$0-$0.05</v>
      </c>
      <c r="L276" t="str">
        <f t="shared" si="24"/>
        <v>0-5</v>
      </c>
    </row>
    <row r="277" spans="1:12" x14ac:dyDescent="0.35">
      <c r="A277" t="s">
        <v>882</v>
      </c>
      <c r="B277" t="s">
        <v>883</v>
      </c>
      <c r="C277">
        <v>2.9999999999999997E-4</v>
      </c>
      <c r="D277">
        <v>1.2500000000000001E-2</v>
      </c>
      <c r="E277">
        <v>3.3000000000000002E-2</v>
      </c>
      <c r="F277">
        <v>1.9E-3</v>
      </c>
      <c r="G277">
        <v>1232104</v>
      </c>
      <c r="H277">
        <f t="shared" si="20"/>
        <v>3.1023784901758014E-4</v>
      </c>
      <c r="I277">
        <f t="shared" si="21"/>
        <v>2.9943108094620217E-4</v>
      </c>
      <c r="J277">
        <f t="shared" si="22"/>
        <v>1.5799999999999998E-2</v>
      </c>
      <c r="K277" t="str">
        <f t="shared" si="23"/>
        <v>$0-$0.05</v>
      </c>
      <c r="L277" t="str">
        <f t="shared" si="24"/>
        <v>0-5</v>
      </c>
    </row>
    <row r="278" spans="1:12" x14ac:dyDescent="0.35">
      <c r="A278" t="s">
        <v>884</v>
      </c>
      <c r="B278" t="s">
        <v>885</v>
      </c>
      <c r="C278">
        <v>1.1499999999999999</v>
      </c>
      <c r="D278">
        <v>2.2000000000000001E-3</v>
      </c>
      <c r="E278">
        <v>1.9E-3</v>
      </c>
      <c r="F278">
        <v>8.6999999999999994E-3</v>
      </c>
      <c r="G278">
        <v>1231341</v>
      </c>
      <c r="H278">
        <f t="shared" si="20"/>
        <v>1.1521891594028653</v>
      </c>
      <c r="I278">
        <f t="shared" si="21"/>
        <v>1.1400812927530484</v>
      </c>
      <c r="J278">
        <f t="shared" si="22"/>
        <v>4.266666666666666E-3</v>
      </c>
      <c r="K278" t="str">
        <f t="shared" si="23"/>
        <v>$0.5-$5</v>
      </c>
      <c r="L278" t="str">
        <f t="shared" si="24"/>
        <v>0-5</v>
      </c>
    </row>
    <row r="279" spans="1:12" x14ac:dyDescent="0.35">
      <c r="A279" t="s">
        <v>886</v>
      </c>
      <c r="B279" t="s">
        <v>887</v>
      </c>
      <c r="C279">
        <v>6.2799999999999995E-2</v>
      </c>
      <c r="D279">
        <v>4.1000000000000003E-3</v>
      </c>
      <c r="E279">
        <v>2.0199999999999999E-2</v>
      </c>
      <c r="F279">
        <v>0.20660000000000001</v>
      </c>
      <c r="G279">
        <v>1232386</v>
      </c>
      <c r="H279">
        <f t="shared" si="20"/>
        <v>6.4094713206776885E-2</v>
      </c>
      <c r="I279">
        <f t="shared" si="21"/>
        <v>5.2047074424001326E-2</v>
      </c>
      <c r="J279">
        <f t="shared" si="22"/>
        <v>7.6966666666666669E-2</v>
      </c>
      <c r="K279" t="str">
        <f t="shared" si="23"/>
        <v>$0.05-$0.5</v>
      </c>
      <c r="L279" t="str">
        <f t="shared" si="24"/>
        <v>0-5</v>
      </c>
    </row>
    <row r="280" spans="1:12" x14ac:dyDescent="0.35">
      <c r="A280" t="s">
        <v>526</v>
      </c>
      <c r="B280" t="s">
        <v>527</v>
      </c>
      <c r="C280">
        <v>2.8999999999999998E-3</v>
      </c>
      <c r="D280">
        <v>1.1900000000000001E-2</v>
      </c>
      <c r="E280">
        <v>3.5000000000000001E-3</v>
      </c>
      <c r="F280">
        <v>0.20730000000000001</v>
      </c>
      <c r="G280">
        <v>1227612</v>
      </c>
      <c r="H280">
        <f t="shared" si="20"/>
        <v>2.9101856497742093E-3</v>
      </c>
      <c r="I280">
        <f t="shared" si="21"/>
        <v>2.4020541704630164E-3</v>
      </c>
      <c r="J280">
        <f t="shared" si="22"/>
        <v>7.4233333333333332E-2</v>
      </c>
      <c r="K280" t="str">
        <f t="shared" si="23"/>
        <v>$0-$0.05</v>
      </c>
      <c r="L280" t="str">
        <f t="shared" si="24"/>
        <v>0-5</v>
      </c>
    </row>
    <row r="281" spans="1:12" x14ac:dyDescent="0.35">
      <c r="A281" t="s">
        <v>888</v>
      </c>
      <c r="B281" t="s">
        <v>888</v>
      </c>
      <c r="C281">
        <v>1.0200000000000001E-2</v>
      </c>
      <c r="D281">
        <v>0</v>
      </c>
      <c r="E281">
        <v>1.2E-2</v>
      </c>
      <c r="F281">
        <v>0.22539999999999999</v>
      </c>
      <c r="G281">
        <v>1219271</v>
      </c>
      <c r="H281">
        <f t="shared" si="20"/>
        <v>1.0323886639676115E-2</v>
      </c>
      <c r="I281">
        <f t="shared" si="21"/>
        <v>8.3238126326097596E-3</v>
      </c>
      <c r="J281">
        <f t="shared" si="22"/>
        <v>7.9133333333333333E-2</v>
      </c>
      <c r="K281" t="str">
        <f t="shared" si="23"/>
        <v>$0-$0.05</v>
      </c>
      <c r="L281" t="str">
        <f t="shared" si="24"/>
        <v>0-5</v>
      </c>
    </row>
    <row r="282" spans="1:12" x14ac:dyDescent="0.35">
      <c r="A282" t="s">
        <v>889</v>
      </c>
      <c r="B282" t="s">
        <v>890</v>
      </c>
      <c r="C282">
        <v>4.1000000000000003E-3</v>
      </c>
      <c r="D282">
        <v>7.6E-3</v>
      </c>
      <c r="E282">
        <v>5.5E-2</v>
      </c>
      <c r="F282">
        <v>0.1757</v>
      </c>
      <c r="G282">
        <v>1217870</v>
      </c>
      <c r="H282">
        <f t="shared" si="20"/>
        <v>4.3386243386243396E-3</v>
      </c>
      <c r="I282">
        <f t="shared" si="21"/>
        <v>3.4872841711320918E-3</v>
      </c>
      <c r="J282">
        <f t="shared" si="22"/>
        <v>7.9433333333333342E-2</v>
      </c>
      <c r="K282" t="str">
        <f t="shared" si="23"/>
        <v>$0-$0.05</v>
      </c>
      <c r="L282" t="str">
        <f t="shared" si="24"/>
        <v>0-5</v>
      </c>
    </row>
    <row r="283" spans="1:12" x14ac:dyDescent="0.35">
      <c r="A283" t="s">
        <v>891</v>
      </c>
      <c r="B283" t="s">
        <v>892</v>
      </c>
      <c r="C283">
        <v>5.0500000000000003E-2</v>
      </c>
      <c r="D283">
        <v>4.1999999999999997E-3</v>
      </c>
      <c r="E283">
        <v>5.5999999999999999E-3</v>
      </c>
      <c r="F283">
        <v>1.46E-2</v>
      </c>
      <c r="G283">
        <v>1217388</v>
      </c>
      <c r="H283">
        <f t="shared" si="20"/>
        <v>5.0784392598551893E-2</v>
      </c>
      <c r="I283">
        <f t="shared" si="21"/>
        <v>4.9773309678691119E-2</v>
      </c>
      <c r="J283">
        <f t="shared" si="22"/>
        <v>8.1333333333333327E-3</v>
      </c>
      <c r="K283" t="str">
        <f t="shared" si="23"/>
        <v>$0.05-$0.5</v>
      </c>
      <c r="L283" t="str">
        <f t="shared" si="24"/>
        <v>0-5</v>
      </c>
    </row>
    <row r="284" spans="1:12" x14ac:dyDescent="0.35">
      <c r="A284" t="s">
        <v>524</v>
      </c>
      <c r="B284" t="s">
        <v>525</v>
      </c>
      <c r="C284">
        <v>5.8999999999999999E-3</v>
      </c>
      <c r="D284">
        <v>1E-3</v>
      </c>
      <c r="E284">
        <v>5.4000000000000003E-3</v>
      </c>
      <c r="F284">
        <v>0.26369999999999999</v>
      </c>
      <c r="G284">
        <v>1211729</v>
      </c>
      <c r="H284">
        <f t="shared" si="20"/>
        <v>5.9320329780816403E-3</v>
      </c>
      <c r="I284">
        <f t="shared" si="21"/>
        <v>4.6688296272849568E-3</v>
      </c>
      <c r="J284">
        <f t="shared" si="22"/>
        <v>9.003333333333334E-2</v>
      </c>
      <c r="K284" t="str">
        <f t="shared" si="23"/>
        <v>$0-$0.05</v>
      </c>
      <c r="L284" t="str">
        <f t="shared" si="24"/>
        <v>0-5</v>
      </c>
    </row>
    <row r="285" spans="1:12" x14ac:dyDescent="0.35">
      <c r="A285" t="s">
        <v>893</v>
      </c>
      <c r="B285" t="s">
        <v>894</v>
      </c>
      <c r="C285">
        <v>1.03E-2</v>
      </c>
      <c r="D285">
        <v>2.0000000000000001E-4</v>
      </c>
      <c r="E285">
        <v>1.3299999999999999E-2</v>
      </c>
      <c r="F285">
        <v>0.23760000000000001</v>
      </c>
      <c r="G285">
        <v>1210645</v>
      </c>
      <c r="H285">
        <f t="shared" si="20"/>
        <v>1.0438836525793048E-2</v>
      </c>
      <c r="I285">
        <f t="shared" si="21"/>
        <v>8.3225597931480284E-3</v>
      </c>
      <c r="J285">
        <f t="shared" si="22"/>
        <v>8.3699999999999997E-2</v>
      </c>
      <c r="K285" t="str">
        <f t="shared" si="23"/>
        <v>$0-$0.05</v>
      </c>
      <c r="L285" t="str">
        <f t="shared" si="24"/>
        <v>0-5</v>
      </c>
    </row>
    <row r="286" spans="1:12" x14ac:dyDescent="0.35">
      <c r="A286" t="s">
        <v>532</v>
      </c>
      <c r="B286" t="s">
        <v>533</v>
      </c>
      <c r="C286">
        <v>5.4999999999999997E-3</v>
      </c>
      <c r="D286">
        <v>0</v>
      </c>
      <c r="E286">
        <v>1.2500000000000001E-2</v>
      </c>
      <c r="F286">
        <v>1.9300000000000001E-2</v>
      </c>
      <c r="G286">
        <v>1209631</v>
      </c>
      <c r="H286">
        <f t="shared" si="20"/>
        <v>5.5696202531645561E-3</v>
      </c>
      <c r="I286">
        <f t="shared" si="21"/>
        <v>5.3958599038555861E-3</v>
      </c>
      <c r="J286">
        <f t="shared" si="22"/>
        <v>1.06E-2</v>
      </c>
      <c r="K286" t="str">
        <f t="shared" si="23"/>
        <v>$0-$0.05</v>
      </c>
      <c r="L286" t="str">
        <f t="shared" si="24"/>
        <v>0-5</v>
      </c>
    </row>
    <row r="287" spans="1:12" x14ac:dyDescent="0.35">
      <c r="A287" t="s">
        <v>551</v>
      </c>
      <c r="B287" t="s">
        <v>552</v>
      </c>
      <c r="C287">
        <v>21.21</v>
      </c>
      <c r="D287">
        <v>1E-4</v>
      </c>
      <c r="E287">
        <v>6.08E-2</v>
      </c>
      <c r="F287">
        <v>0.19070000000000001</v>
      </c>
      <c r="G287">
        <v>989654</v>
      </c>
      <c r="H287">
        <f t="shared" si="20"/>
        <v>22.583049403747872</v>
      </c>
      <c r="I287">
        <f t="shared" si="21"/>
        <v>17.813051146384478</v>
      </c>
      <c r="J287">
        <f t="shared" si="22"/>
        <v>8.3866666666666659E-2</v>
      </c>
      <c r="K287" t="str">
        <f t="shared" si="23"/>
        <v>$5-$50</v>
      </c>
      <c r="L287" t="str">
        <f t="shared" si="24"/>
        <v>Above 5</v>
      </c>
    </row>
    <row r="288" spans="1:12" x14ac:dyDescent="0.35">
      <c r="A288" t="s">
        <v>895</v>
      </c>
      <c r="B288" t="s">
        <v>896</v>
      </c>
      <c r="C288">
        <v>25.62</v>
      </c>
      <c r="D288">
        <v>2.52E-2</v>
      </c>
      <c r="E288">
        <v>1E-3</v>
      </c>
      <c r="F288">
        <v>5.3900000000000003E-2</v>
      </c>
      <c r="G288">
        <v>988940</v>
      </c>
      <c r="H288">
        <f t="shared" si="20"/>
        <v>25.645645645645647</v>
      </c>
      <c r="I288">
        <f t="shared" si="21"/>
        <v>24.309706803302021</v>
      </c>
      <c r="J288">
        <f t="shared" si="22"/>
        <v>2.6700000000000002E-2</v>
      </c>
      <c r="K288" t="str">
        <f t="shared" si="23"/>
        <v>$5-$50</v>
      </c>
      <c r="L288" t="str">
        <f t="shared" si="24"/>
        <v>Above 5</v>
      </c>
    </row>
    <row r="289" spans="1:12" x14ac:dyDescent="0.35">
      <c r="A289" t="s">
        <v>897</v>
      </c>
      <c r="B289" t="s">
        <v>898</v>
      </c>
      <c r="C289">
        <v>1E-3</v>
      </c>
      <c r="D289">
        <v>5.3E-3</v>
      </c>
      <c r="E289">
        <v>2.3099999999999999E-2</v>
      </c>
      <c r="F289">
        <v>0.11509999999999999</v>
      </c>
      <c r="G289">
        <v>987437</v>
      </c>
      <c r="H289">
        <f t="shared" si="20"/>
        <v>1.0236462278636503E-3</v>
      </c>
      <c r="I289">
        <f t="shared" si="21"/>
        <v>8.9678055779750698E-4</v>
      </c>
      <c r="J289">
        <f t="shared" si="22"/>
        <v>4.7833333333333332E-2</v>
      </c>
      <c r="K289" t="str">
        <f t="shared" si="23"/>
        <v>$0-$0.05</v>
      </c>
      <c r="L289" t="str">
        <f t="shared" si="24"/>
        <v>0-5</v>
      </c>
    </row>
    <row r="290" spans="1:12" x14ac:dyDescent="0.35">
      <c r="A290" t="s">
        <v>899</v>
      </c>
      <c r="B290" t="s">
        <v>900</v>
      </c>
      <c r="C290">
        <v>4.5999999999999999E-3</v>
      </c>
      <c r="D290">
        <v>4.0000000000000002E-4</v>
      </c>
      <c r="E290">
        <v>7.4000000000000003E-3</v>
      </c>
      <c r="F290">
        <v>0.13950000000000001</v>
      </c>
      <c r="G290">
        <v>984510</v>
      </c>
      <c r="H290">
        <f t="shared" si="20"/>
        <v>4.6342937739270599E-3</v>
      </c>
      <c r="I290">
        <f t="shared" si="21"/>
        <v>4.0368582711715669E-3</v>
      </c>
      <c r="J290">
        <f t="shared" si="22"/>
        <v>4.9100000000000005E-2</v>
      </c>
      <c r="K290" t="str">
        <f t="shared" si="23"/>
        <v>$0-$0.05</v>
      </c>
      <c r="L290" t="str">
        <f t="shared" si="24"/>
        <v>0-5</v>
      </c>
    </row>
    <row r="291" spans="1:12" x14ac:dyDescent="0.35">
      <c r="A291" t="s">
        <v>901</v>
      </c>
      <c r="B291" t="s">
        <v>902</v>
      </c>
      <c r="C291">
        <v>2.8999999999999998E-3</v>
      </c>
      <c r="D291">
        <v>1.6500000000000001E-2</v>
      </c>
      <c r="E291">
        <v>1.9E-2</v>
      </c>
      <c r="F291">
        <v>0.2064</v>
      </c>
      <c r="G291">
        <v>983577</v>
      </c>
      <c r="H291">
        <f t="shared" si="20"/>
        <v>2.9561671763506624E-3</v>
      </c>
      <c r="I291">
        <f t="shared" si="21"/>
        <v>2.403846153846154E-3</v>
      </c>
      <c r="J291">
        <f t="shared" si="22"/>
        <v>8.0633333333333335E-2</v>
      </c>
      <c r="K291" t="str">
        <f t="shared" si="23"/>
        <v>$0-$0.05</v>
      </c>
      <c r="L291" t="str">
        <f t="shared" si="24"/>
        <v>0-5</v>
      </c>
    </row>
    <row r="292" spans="1:12" x14ac:dyDescent="0.35">
      <c r="A292" t="s">
        <v>903</v>
      </c>
      <c r="B292" t="s">
        <v>904</v>
      </c>
      <c r="C292">
        <v>96.11</v>
      </c>
      <c r="D292">
        <v>1.41E-2</v>
      </c>
      <c r="E292">
        <v>8.3599999999999994E-2</v>
      </c>
      <c r="F292">
        <v>0.11459999999999999</v>
      </c>
      <c r="G292">
        <v>981048</v>
      </c>
      <c r="H292">
        <f t="shared" si="20"/>
        <v>104.87778262767351</v>
      </c>
      <c r="I292">
        <f t="shared" si="21"/>
        <v>86.228243315987797</v>
      </c>
      <c r="J292">
        <f t="shared" si="22"/>
        <v>7.0766666666666658E-2</v>
      </c>
      <c r="K292" t="str">
        <f t="shared" si="23"/>
        <v>&gt;$50</v>
      </c>
      <c r="L292" t="str">
        <f t="shared" si="24"/>
        <v>Above 5</v>
      </c>
    </row>
    <row r="293" spans="1:12" x14ac:dyDescent="0.35">
      <c r="A293" t="s">
        <v>905</v>
      </c>
      <c r="B293" t="s">
        <v>906</v>
      </c>
      <c r="C293">
        <v>0.32740000000000002</v>
      </c>
      <c r="D293">
        <v>2.9999999999999997E-4</v>
      </c>
      <c r="E293">
        <v>2.1999999999999999E-2</v>
      </c>
      <c r="F293">
        <v>0.1802</v>
      </c>
      <c r="G293">
        <v>979934</v>
      </c>
      <c r="H293">
        <f t="shared" si="20"/>
        <v>0.33476482617586917</v>
      </c>
      <c r="I293">
        <f t="shared" si="21"/>
        <v>0.27741060837146253</v>
      </c>
      <c r="J293">
        <f t="shared" si="22"/>
        <v>6.7500000000000004E-2</v>
      </c>
      <c r="K293" t="str">
        <f t="shared" si="23"/>
        <v>$0.05-$0.5</v>
      </c>
      <c r="L293" t="str">
        <f t="shared" si="24"/>
        <v>0-5</v>
      </c>
    </row>
    <row r="294" spans="1:12" x14ac:dyDescent="0.35">
      <c r="A294" t="s">
        <v>907</v>
      </c>
      <c r="B294" t="s">
        <v>908</v>
      </c>
      <c r="C294">
        <v>1.06E-2</v>
      </c>
      <c r="D294">
        <v>0</v>
      </c>
      <c r="E294">
        <v>0.1229</v>
      </c>
      <c r="F294">
        <v>0.54859999999999998</v>
      </c>
      <c r="G294">
        <v>974476</v>
      </c>
      <c r="H294">
        <f t="shared" si="20"/>
        <v>1.2085281039790218E-2</v>
      </c>
      <c r="I294">
        <f t="shared" si="21"/>
        <v>6.844892160661243E-3</v>
      </c>
      <c r="J294">
        <f t="shared" si="22"/>
        <v>0.22383333333333333</v>
      </c>
      <c r="K294" t="str">
        <f t="shared" si="23"/>
        <v>$0-$0.05</v>
      </c>
      <c r="L294" t="str">
        <f t="shared" si="24"/>
        <v>0-5</v>
      </c>
    </row>
    <row r="295" spans="1:12" x14ac:dyDescent="0.35">
      <c r="A295" t="s">
        <v>140</v>
      </c>
      <c r="B295" t="s">
        <v>140</v>
      </c>
      <c r="C295">
        <v>1E-3</v>
      </c>
      <c r="D295">
        <v>5.4999999999999997E-3</v>
      </c>
      <c r="E295">
        <v>0.15240000000000001</v>
      </c>
      <c r="F295">
        <v>9.7699999999999995E-2</v>
      </c>
      <c r="G295">
        <v>973084</v>
      </c>
      <c r="H295">
        <f t="shared" si="20"/>
        <v>1.1798017932987258E-3</v>
      </c>
      <c r="I295">
        <f t="shared" si="21"/>
        <v>9.1099571832012403E-4</v>
      </c>
      <c r="J295">
        <f t="shared" si="22"/>
        <v>8.5199999999999998E-2</v>
      </c>
      <c r="K295" t="str">
        <f t="shared" si="23"/>
        <v>$0-$0.05</v>
      </c>
      <c r="L295" t="str">
        <f t="shared" si="24"/>
        <v>0-5</v>
      </c>
    </row>
    <row r="296" spans="1:12" x14ac:dyDescent="0.35">
      <c r="A296" t="s">
        <v>553</v>
      </c>
      <c r="B296" t="s">
        <v>554</v>
      </c>
      <c r="C296">
        <v>1.0800000000000001E-2</v>
      </c>
      <c r="D296">
        <v>5.4000000000000003E-3</v>
      </c>
      <c r="E296">
        <v>9.9000000000000008E-3</v>
      </c>
      <c r="F296">
        <v>5.6099999999999997E-2</v>
      </c>
      <c r="G296">
        <v>970983</v>
      </c>
      <c r="H296">
        <f t="shared" si="20"/>
        <v>1.0907989092010909E-2</v>
      </c>
      <c r="I296">
        <f t="shared" si="21"/>
        <v>1.0226304327241739E-2</v>
      </c>
      <c r="J296">
        <f t="shared" si="22"/>
        <v>2.3799999999999998E-2</v>
      </c>
      <c r="K296" t="str">
        <f t="shared" si="23"/>
        <v>$0-$0.05</v>
      </c>
      <c r="L296" t="str">
        <f t="shared" si="24"/>
        <v>0-5</v>
      </c>
    </row>
    <row r="297" spans="1:12" x14ac:dyDescent="0.35">
      <c r="A297" t="s">
        <v>909</v>
      </c>
      <c r="B297" t="s">
        <v>910</v>
      </c>
      <c r="C297">
        <v>1E-3</v>
      </c>
      <c r="D297">
        <v>8.2000000000000003E-2</v>
      </c>
      <c r="E297">
        <v>0.21310000000000001</v>
      </c>
      <c r="F297">
        <v>3.8E-3</v>
      </c>
      <c r="G297">
        <v>971516</v>
      </c>
      <c r="H297">
        <f t="shared" si="20"/>
        <v>1.2708095056551023E-3</v>
      </c>
      <c r="I297">
        <f t="shared" si="21"/>
        <v>9.9621438533572431E-4</v>
      </c>
      <c r="J297">
        <f t="shared" si="22"/>
        <v>9.9633333333333352E-2</v>
      </c>
      <c r="K297" t="str">
        <f t="shared" si="23"/>
        <v>$0-$0.05</v>
      </c>
      <c r="L297" t="str">
        <f t="shared" si="24"/>
        <v>0-5</v>
      </c>
    </row>
    <row r="298" spans="1:12" x14ac:dyDescent="0.35">
      <c r="A298" t="s">
        <v>911</v>
      </c>
      <c r="B298" t="s">
        <v>912</v>
      </c>
      <c r="C298">
        <v>6.3E-3</v>
      </c>
      <c r="D298">
        <v>0</v>
      </c>
      <c r="E298">
        <v>1.41E-2</v>
      </c>
      <c r="F298">
        <v>0.2117</v>
      </c>
      <c r="G298">
        <v>969733</v>
      </c>
      <c r="H298">
        <f t="shared" si="20"/>
        <v>6.3901004158636778E-3</v>
      </c>
      <c r="I298">
        <f t="shared" si="21"/>
        <v>5.1993067590987872E-3</v>
      </c>
      <c r="J298">
        <f t="shared" si="22"/>
        <v>7.5266666666666662E-2</v>
      </c>
      <c r="K298" t="str">
        <f t="shared" si="23"/>
        <v>$0-$0.05</v>
      </c>
      <c r="L298" t="str">
        <f t="shared" si="24"/>
        <v>0-5</v>
      </c>
    </row>
    <row r="299" spans="1:12" x14ac:dyDescent="0.35">
      <c r="A299" t="s">
        <v>913</v>
      </c>
      <c r="B299" t="s">
        <v>914</v>
      </c>
      <c r="C299">
        <v>1E-4</v>
      </c>
      <c r="D299">
        <v>1.6000000000000001E-3</v>
      </c>
      <c r="E299">
        <v>8.0000000000000004E-4</v>
      </c>
      <c r="F299">
        <v>2.5999999999999999E-3</v>
      </c>
      <c r="G299">
        <v>967677</v>
      </c>
      <c r="H299">
        <f t="shared" si="20"/>
        <v>1.00080064051241E-4</v>
      </c>
      <c r="I299">
        <f t="shared" si="21"/>
        <v>9.9740674246957925E-5</v>
      </c>
      <c r="J299">
        <f t="shared" si="22"/>
        <v>1.6666666666666668E-3</v>
      </c>
      <c r="K299" t="str">
        <f t="shared" si="23"/>
        <v>$0-$0.05</v>
      </c>
      <c r="L299" t="str">
        <f t="shared" si="24"/>
        <v>0-5</v>
      </c>
    </row>
    <row r="300" spans="1:12" x14ac:dyDescent="0.35">
      <c r="A300" t="s">
        <v>915</v>
      </c>
      <c r="B300" t="s">
        <v>916</v>
      </c>
      <c r="C300">
        <v>5.5999999999999999E-3</v>
      </c>
      <c r="D300">
        <v>9.1999999999999998E-3</v>
      </c>
      <c r="E300">
        <v>0.14480000000000001</v>
      </c>
      <c r="F300">
        <v>0.95399999999999996</v>
      </c>
      <c r="G300">
        <v>967116</v>
      </c>
      <c r="H300">
        <f t="shared" si="20"/>
        <v>6.5481758652946682E-3</v>
      </c>
      <c r="I300">
        <f t="shared" si="21"/>
        <v>2.8659160696008191E-3</v>
      </c>
      <c r="J300">
        <f t="shared" si="22"/>
        <v>0.36933333333333335</v>
      </c>
      <c r="K300" t="str">
        <f t="shared" si="23"/>
        <v>$0-$0.05</v>
      </c>
      <c r="L300" t="str">
        <f t="shared" si="24"/>
        <v>0-5</v>
      </c>
    </row>
    <row r="301" spans="1:12" x14ac:dyDescent="0.35">
      <c r="A301" t="s">
        <v>917</v>
      </c>
      <c r="B301" t="s">
        <v>918</v>
      </c>
      <c r="C301">
        <v>113.48</v>
      </c>
      <c r="D301">
        <v>1.4800000000000001E-2</v>
      </c>
      <c r="E301">
        <v>6.13E-2</v>
      </c>
      <c r="F301">
        <v>0.1678</v>
      </c>
      <c r="G301">
        <v>961867</v>
      </c>
      <c r="H301">
        <f t="shared" si="20"/>
        <v>120.89059337381485</v>
      </c>
      <c r="I301">
        <f t="shared" si="21"/>
        <v>97.174173659873276</v>
      </c>
      <c r="J301">
        <f t="shared" si="22"/>
        <v>8.1299999999999997E-2</v>
      </c>
      <c r="K301" t="str">
        <f t="shared" si="23"/>
        <v>&gt;$50</v>
      </c>
      <c r="L301" t="str">
        <f t="shared" si="24"/>
        <v>Above 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10237-A98B-4D61-B1B7-69B7CBECC1F7}">
  <sheetPr codeName="Sheet3"/>
  <dimension ref="A1:H99"/>
  <sheetViews>
    <sheetView zoomScale="48" zoomScaleNormal="100" workbookViewId="0">
      <selection activeCell="X14" sqref="X14"/>
    </sheetView>
  </sheetViews>
  <sheetFormatPr defaultColWidth="36.6328125" defaultRowHeight="14.5" x14ac:dyDescent="0.35"/>
  <cols>
    <col min="5" max="5" width="24.1796875" bestFit="1" customWidth="1"/>
    <col min="6" max="6" width="24" bestFit="1" customWidth="1"/>
    <col min="7" max="7" width="16.90625" bestFit="1" customWidth="1"/>
  </cols>
  <sheetData>
    <row r="1" spans="1:8" s="7" customFormat="1" ht="31" x14ac:dyDescent="0.5">
      <c r="A1" s="9" t="s">
        <v>143</v>
      </c>
      <c r="B1" s="5" t="s">
        <v>144</v>
      </c>
      <c r="F1" s="8" t="s">
        <v>147</v>
      </c>
      <c r="G1" s="6"/>
      <c r="H1" s="6"/>
    </row>
    <row r="2" spans="1:8" ht="21" x14ac:dyDescent="0.5">
      <c r="A2" s="5"/>
      <c r="B2" s="5"/>
      <c r="F2">
        <v>111073453396</v>
      </c>
      <c r="G2" s="4"/>
    </row>
    <row r="3" spans="1:8" ht="21" x14ac:dyDescent="0.5">
      <c r="A3" s="9" t="s">
        <v>557</v>
      </c>
      <c r="B3" s="5" t="s">
        <v>147</v>
      </c>
      <c r="G3" t="s">
        <v>148</v>
      </c>
    </row>
    <row r="4" spans="1:8" ht="21" x14ac:dyDescent="0.5">
      <c r="A4" s="10" t="s">
        <v>25</v>
      </c>
      <c r="B4" s="5">
        <v>3017414794</v>
      </c>
      <c r="G4">
        <v>67188.03</v>
      </c>
    </row>
    <row r="5" spans="1:8" ht="21" x14ac:dyDescent="0.5">
      <c r="A5" s="10" t="s">
        <v>15</v>
      </c>
      <c r="B5" s="5">
        <v>3848897507</v>
      </c>
      <c r="G5" t="s">
        <v>149</v>
      </c>
    </row>
    <row r="6" spans="1:8" ht="21" x14ac:dyDescent="0.5">
      <c r="A6" s="10" t="s">
        <v>29</v>
      </c>
      <c r="B6" s="5">
        <v>916226709</v>
      </c>
      <c r="G6">
        <f>COUNTA(Dashboard_1!J20:J20)</f>
        <v>0</v>
      </c>
    </row>
    <row r="7" spans="1:8" ht="21" x14ac:dyDescent="0.5">
      <c r="A7" s="10" t="s">
        <v>47</v>
      </c>
      <c r="B7" s="5">
        <v>48228844</v>
      </c>
    </row>
    <row r="8" spans="1:8" ht="21" x14ac:dyDescent="0.5">
      <c r="A8" s="10" t="s">
        <v>10</v>
      </c>
      <c r="B8" s="5">
        <v>36178864935</v>
      </c>
      <c r="F8" s="3" t="s">
        <v>150</v>
      </c>
    </row>
    <row r="9" spans="1:8" ht="21" x14ac:dyDescent="0.5">
      <c r="A9" s="10" t="s">
        <v>23</v>
      </c>
      <c r="B9" s="5">
        <v>1790825480</v>
      </c>
      <c r="F9">
        <v>965856116.48695648</v>
      </c>
    </row>
    <row r="10" spans="1:8" ht="21" x14ac:dyDescent="0.5">
      <c r="A10" s="10" t="s">
        <v>14</v>
      </c>
      <c r="B10" s="5">
        <v>2533998725</v>
      </c>
    </row>
    <row r="11" spans="1:8" ht="21" x14ac:dyDescent="0.5">
      <c r="A11" s="10" t="s">
        <v>8</v>
      </c>
      <c r="B11" s="5">
        <v>67558459644</v>
      </c>
      <c r="F11" s="3" t="s">
        <v>151</v>
      </c>
    </row>
    <row r="12" spans="1:8" ht="21" x14ac:dyDescent="0.5">
      <c r="A12" s="10" t="s">
        <v>164</v>
      </c>
      <c r="B12" s="5">
        <v>80182341</v>
      </c>
      <c r="F12">
        <v>1776640634199</v>
      </c>
    </row>
    <row r="13" spans="1:8" ht="21" x14ac:dyDescent="0.5">
      <c r="A13" s="10" t="s">
        <v>192</v>
      </c>
      <c r="B13" s="5">
        <v>24722387</v>
      </c>
    </row>
    <row r="14" spans="1:8" ht="21" x14ac:dyDescent="0.5">
      <c r="A14" s="10" t="s">
        <v>146</v>
      </c>
      <c r="B14" s="5">
        <v>115997821366</v>
      </c>
      <c r="F14" s="3" t="s">
        <v>152</v>
      </c>
    </row>
    <row r="15" spans="1:8" x14ac:dyDescent="0.35">
      <c r="F15">
        <v>73464.946799999962</v>
      </c>
    </row>
    <row r="18" spans="5:7" x14ac:dyDescent="0.35">
      <c r="E18" s="1" t="s">
        <v>151</v>
      </c>
      <c r="F18" s="1" t="s">
        <v>157</v>
      </c>
    </row>
    <row r="19" spans="5:7" x14ac:dyDescent="0.35">
      <c r="E19" s="1" t="s">
        <v>156</v>
      </c>
      <c r="F19" t="s">
        <v>144</v>
      </c>
      <c r="G19" t="s">
        <v>146</v>
      </c>
    </row>
    <row r="20" spans="5:7" x14ac:dyDescent="0.35">
      <c r="E20" s="2" t="s">
        <v>65</v>
      </c>
      <c r="F20">
        <v>609084813</v>
      </c>
      <c r="G20">
        <v>609084813</v>
      </c>
    </row>
    <row r="21" spans="5:7" x14ac:dyDescent="0.35">
      <c r="E21" s="2" t="s">
        <v>8</v>
      </c>
      <c r="F21">
        <v>1222307110742</v>
      </c>
      <c r="G21">
        <v>1222307110742</v>
      </c>
    </row>
    <row r="22" spans="5:7" x14ac:dyDescent="0.35">
      <c r="E22" s="2" t="s">
        <v>14</v>
      </c>
      <c r="F22">
        <v>77889548635</v>
      </c>
      <c r="G22">
        <v>77889548635</v>
      </c>
    </row>
    <row r="23" spans="5:7" x14ac:dyDescent="0.35">
      <c r="E23" s="2" t="s">
        <v>61</v>
      </c>
      <c r="F23">
        <v>820728735</v>
      </c>
      <c r="G23">
        <v>820728735</v>
      </c>
    </row>
    <row r="24" spans="5:7" x14ac:dyDescent="0.35">
      <c r="E24" s="2" t="s">
        <v>23</v>
      </c>
      <c r="F24">
        <v>12531182811</v>
      </c>
      <c r="G24">
        <v>12531182811</v>
      </c>
    </row>
    <row r="25" spans="5:7" x14ac:dyDescent="0.35">
      <c r="E25" s="2" t="s">
        <v>10</v>
      </c>
      <c r="F25">
        <v>189809648557</v>
      </c>
      <c r="G25">
        <v>189809648557</v>
      </c>
    </row>
    <row r="26" spans="5:7" x14ac:dyDescent="0.35">
      <c r="E26" s="2" t="s">
        <v>56</v>
      </c>
      <c r="F26">
        <v>2140253880</v>
      </c>
      <c r="G26">
        <v>2140253880</v>
      </c>
    </row>
    <row r="27" spans="5:7" x14ac:dyDescent="0.35">
      <c r="E27" s="2" t="s">
        <v>29</v>
      </c>
      <c r="F27">
        <v>6619168999</v>
      </c>
      <c r="G27">
        <v>6619168999</v>
      </c>
    </row>
    <row r="28" spans="5:7" x14ac:dyDescent="0.35">
      <c r="E28" s="2" t="s">
        <v>15</v>
      </c>
      <c r="F28">
        <v>67738003484</v>
      </c>
      <c r="G28">
        <v>67738003484</v>
      </c>
    </row>
    <row r="29" spans="5:7" x14ac:dyDescent="0.35">
      <c r="E29" s="2" t="s">
        <v>25</v>
      </c>
      <c r="F29">
        <v>6413297048</v>
      </c>
      <c r="G29">
        <v>6413297048</v>
      </c>
    </row>
    <row r="30" spans="5:7" x14ac:dyDescent="0.35">
      <c r="E30" s="2" t="s">
        <v>146</v>
      </c>
      <c r="F30">
        <v>1586878027704</v>
      </c>
      <c r="G30">
        <v>1586878027704</v>
      </c>
    </row>
    <row r="97" spans="1:2" ht="15" thickBot="1" x14ac:dyDescent="0.4"/>
    <row r="98" spans="1:2" ht="27" thickTop="1" thickBot="1" x14ac:dyDescent="0.65">
      <c r="A98" s="61"/>
      <c r="B98" s="62"/>
    </row>
    <row r="99" spans="1:2" ht="26.5" thickTop="1" x14ac:dyDescent="0.6">
      <c r="A99" s="63"/>
      <c r="B99" s="64"/>
    </row>
  </sheetData>
  <pageMargins left="0.7" right="0.7" top="0.75" bottom="0.75" header="0.3" footer="0.3"/>
  <pageSetup orientation="portrait"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19F5151-09D8-4418-934E-8932971ACB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Dashboard_1</vt:lpstr>
      <vt:lpstr>Dashboard_2</vt:lpstr>
      <vt:lpstr>Dashboard_3</vt:lpstr>
      <vt:lpstr>Dashboard_4</vt:lpstr>
      <vt:lpstr>Dashboard_5</vt:lpstr>
      <vt:lpstr>Dashboard_6</vt:lpstr>
      <vt:lpstr>Data</vt:lpstr>
      <vt:lpstr>Data_2</vt:lpstr>
      <vt:lpstr>Data_3</vt:lpstr>
      <vt:lpstr>Data_5</vt:lpstr>
      <vt:lpstr>Backend_1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Ishita Das</cp:lastModifiedBy>
  <dcterms:created xsi:type="dcterms:W3CDTF">2026-06-03T08:02:00Z</dcterms:created>
  <dcterms:modified xsi:type="dcterms:W3CDTF">2026-06-10T07:38:03Z</dcterms:modified>
</cp:coreProperties>
</file>